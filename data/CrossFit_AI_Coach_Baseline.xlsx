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rossFitCoach\data\"/>
    </mc:Choice>
  </mc:AlternateContent>
  <xr:revisionPtr revIDLastSave="0" documentId="13_ncr:1_{BFABF7D5-6F32-4E09-BB90-A00630E1C253}" xr6:coauthVersionLast="47" xr6:coauthVersionMax="47" xr10:uidLastSave="{00000000-0000-0000-0000-000000000000}"/>
  <bookViews>
    <workbookView xWindow="-8952" yWindow="-17280" windowWidth="20832" windowHeight="16656" tabRatio="908" firstSheet="2" activeTab="10" xr2:uid="{00000000-000D-0000-FFFF-FFFF00000000}"/>
  </bookViews>
  <sheets>
    <sheet name="Lists" sheetId="16" r:id="rId1"/>
    <sheet name="README" sheetId="1" r:id="rId2"/>
    <sheet name="Benchmarks" sheetId="2" r:id="rId3"/>
    <sheet name="Benchmarks(Other)" sheetId="18" r:id="rId4"/>
    <sheet name="BenchmarkResults" sheetId="3" r:id="rId5"/>
    <sheet name="BenchmarkMap" sheetId="4" r:id="rId6"/>
    <sheet name="MovementLibrary" sheetId="5" r:id="rId7"/>
    <sheet name="GtG_Log" sheetId="6" r:id="rId8"/>
    <sheet name="Programs" sheetId="7" r:id="rId9"/>
    <sheet name="Sessions" sheetId="8" r:id="rId10"/>
    <sheet name="SessionMovements" sheetId="9" r:id="rId11"/>
    <sheet name="ReadinessDaily" sheetId="10" r:id="rId12"/>
    <sheet name="Milestones" sheetId="11" r:id="rId13"/>
    <sheet name="PlanRules" sheetId="12" r:id="rId14"/>
    <sheet name="GapAnalysis" sheetId="13" r:id="rId15"/>
    <sheet name="PRHistory" sheetId="14" r:id="rId16"/>
    <sheet name="OneRMs" sheetId="17" r:id="rId17"/>
    <sheet name="Wellness" sheetId="15" r:id="rId18"/>
  </sheets>
  <definedNames>
    <definedName name="BenchmarkIDs" localSheetId="3">PR_History[BenchmarkID]</definedName>
    <definedName name="BenchmarkIDs">PR_History[BenchmarkID]</definedName>
    <definedName name="LoadSourceOptions" localSheetId="3">DVLOADSOURCE[DV_LoadSource]</definedName>
    <definedName name="LoadSourceOptions">DVLOADSOURCE[DV_LoadSource]</definedName>
    <definedName name="lstStatus" localSheetId="3">Table15[Status]</definedName>
    <definedName name="lstStatus">Table15[Status]</definedName>
    <definedName name="Modalities" localSheetId="3">_xlfn._xlws.SORT(_xlfn.UNIQUE(MovementLibrary[Modality]))</definedName>
    <definedName name="Modalities">_xlfn._xlws.SORT(_xlfn.UNIQUE(MovementLibrary[Modality]))</definedName>
    <definedName name="MovementIDs" localSheetId="3">MovementLibrary[MovementID]</definedName>
    <definedName name="MovementIDs">MovementLibrary[MovementID]</definedName>
    <definedName name="ProgramIDs" localSheetId="3">Programs[ProgramID]</definedName>
    <definedName name="ProgramIDs">Programs[ProgramID]</definedName>
    <definedName name="SessionIDs" localSheetId="3">Sessions[SessionID]</definedName>
    <definedName name="SessionIDs">Sessions[SessionID]</definedName>
    <definedName name="SessionLabels" localSheetId="3">Sessions[SessionLabel]</definedName>
    <definedName name="SessionLabels">Sessions[SessionLabel]</definedName>
    <definedName name="UnitsAll" localSheetId="3">_xlfn._xlws.SORT(_xlfn.UNIQUE(MovementLibrary[Unit]))</definedName>
    <definedName name="UnitsAll">_xlfn._xlws.SORT(_xlfn.UNIQUE(MovementLibrary[Unit]))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9" i="9" l="1"/>
  <c r="H18" i="14"/>
  <c r="I18" i="14" s="1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E1042" i="9"/>
  <c r="E1043" i="9"/>
  <c r="E1044" i="9"/>
  <c r="E1045" i="9"/>
  <c r="E1046" i="9"/>
  <c r="E1047" i="9"/>
  <c r="E1048" i="9"/>
  <c r="E1049" i="9"/>
  <c r="F1049" i="9" s="1"/>
  <c r="E1050" i="9"/>
  <c r="E1051" i="9"/>
  <c r="F1051" i="9" s="1"/>
  <c r="E1052" i="9"/>
  <c r="E1053" i="9"/>
  <c r="E1054" i="9"/>
  <c r="E1055" i="9"/>
  <c r="E1056" i="9"/>
  <c r="E1057" i="9"/>
  <c r="E1058" i="9"/>
  <c r="E1059" i="9"/>
  <c r="E1060" i="9"/>
  <c r="E1061" i="9"/>
  <c r="C1039" i="9"/>
  <c r="C1040" i="9"/>
  <c r="C1041" i="9"/>
  <c r="D1039" i="9"/>
  <c r="D1040" i="9"/>
  <c r="D1041" i="9"/>
  <c r="E1039" i="9"/>
  <c r="E1040" i="9"/>
  <c r="E1041" i="9"/>
  <c r="C1038" i="9"/>
  <c r="D1038" i="9"/>
  <c r="E1038" i="9"/>
  <c r="C1035" i="9"/>
  <c r="C1036" i="9"/>
  <c r="C1037" i="9"/>
  <c r="D1035" i="9"/>
  <c r="D1036" i="9"/>
  <c r="D1037" i="9"/>
  <c r="E1035" i="9"/>
  <c r="E1036" i="9"/>
  <c r="E1037" i="9"/>
  <c r="C1034" i="9"/>
  <c r="D1034" i="9"/>
  <c r="E1034" i="9"/>
  <c r="C1031" i="9"/>
  <c r="C1032" i="9"/>
  <c r="C1033" i="9"/>
  <c r="D1031" i="9"/>
  <c r="D1032" i="9"/>
  <c r="D1033" i="9"/>
  <c r="E1031" i="9"/>
  <c r="E1032" i="9"/>
  <c r="E1033" i="9"/>
  <c r="C1030" i="9"/>
  <c r="D1030" i="9"/>
  <c r="E1030" i="9"/>
  <c r="C1027" i="9"/>
  <c r="C1028" i="9"/>
  <c r="D1027" i="9"/>
  <c r="D1028" i="9"/>
  <c r="D1029" i="9"/>
  <c r="E1027" i="9"/>
  <c r="E1028" i="9"/>
  <c r="E1029" i="9"/>
  <c r="C1026" i="9"/>
  <c r="D1026" i="9"/>
  <c r="E1026" i="9"/>
  <c r="C1023" i="9"/>
  <c r="C1024" i="9"/>
  <c r="C1025" i="9"/>
  <c r="D1023" i="9"/>
  <c r="D1024" i="9"/>
  <c r="D1025" i="9"/>
  <c r="E1023" i="9"/>
  <c r="E1024" i="9"/>
  <c r="E1025" i="9"/>
  <c r="C1022" i="9"/>
  <c r="D1022" i="9"/>
  <c r="E1022" i="9"/>
  <c r="A12" i="7"/>
  <c r="H17" i="14"/>
  <c r="I17" i="14" s="1"/>
  <c r="C1016" i="9"/>
  <c r="C1017" i="9"/>
  <c r="C1018" i="9"/>
  <c r="C1019" i="9"/>
  <c r="C1020" i="9"/>
  <c r="C1021" i="9"/>
  <c r="D1016" i="9"/>
  <c r="D1017" i="9"/>
  <c r="D1018" i="9"/>
  <c r="D1019" i="9"/>
  <c r="D1020" i="9"/>
  <c r="D1021" i="9"/>
  <c r="E1016" i="9"/>
  <c r="E1017" i="9"/>
  <c r="E1018" i="9"/>
  <c r="E1019" i="9"/>
  <c r="E1020" i="9"/>
  <c r="E1021" i="9"/>
  <c r="C1010" i="9"/>
  <c r="C1011" i="9"/>
  <c r="C1012" i="9"/>
  <c r="C1013" i="9"/>
  <c r="C1014" i="9"/>
  <c r="C1015" i="9"/>
  <c r="D1010" i="9"/>
  <c r="D1011" i="9"/>
  <c r="D1012" i="9"/>
  <c r="D1013" i="9"/>
  <c r="D1014" i="9"/>
  <c r="D1015" i="9"/>
  <c r="E1010" i="9"/>
  <c r="E1011" i="9"/>
  <c r="E1012" i="9"/>
  <c r="E1013" i="9"/>
  <c r="E1014" i="9"/>
  <c r="E1015" i="9"/>
  <c r="C1004" i="9"/>
  <c r="C1005" i="9"/>
  <c r="C1006" i="9"/>
  <c r="C1007" i="9"/>
  <c r="C1008" i="9"/>
  <c r="C1009" i="9"/>
  <c r="D1004" i="9"/>
  <c r="D1005" i="9"/>
  <c r="D1006" i="9"/>
  <c r="D1007" i="9"/>
  <c r="D1008" i="9"/>
  <c r="D1009" i="9"/>
  <c r="E1004" i="9"/>
  <c r="E1005" i="9"/>
  <c r="E1006" i="9"/>
  <c r="E1007" i="9"/>
  <c r="E1008" i="9"/>
  <c r="E1009" i="9"/>
  <c r="C998" i="9"/>
  <c r="C999" i="9"/>
  <c r="C1000" i="9"/>
  <c r="C1001" i="9"/>
  <c r="C1002" i="9"/>
  <c r="C1003" i="9"/>
  <c r="D998" i="9"/>
  <c r="D999" i="9"/>
  <c r="D1000" i="9"/>
  <c r="D1001" i="9"/>
  <c r="D1002" i="9"/>
  <c r="D1003" i="9"/>
  <c r="E998" i="9"/>
  <c r="E999" i="9"/>
  <c r="E1000" i="9"/>
  <c r="E1001" i="9"/>
  <c r="E1002" i="9"/>
  <c r="E1003" i="9"/>
  <c r="C992" i="9"/>
  <c r="C993" i="9"/>
  <c r="C994" i="9"/>
  <c r="C995" i="9"/>
  <c r="C996" i="9"/>
  <c r="C997" i="9"/>
  <c r="D992" i="9"/>
  <c r="D993" i="9"/>
  <c r="D994" i="9"/>
  <c r="D995" i="9"/>
  <c r="D996" i="9"/>
  <c r="D997" i="9"/>
  <c r="E992" i="9"/>
  <c r="E993" i="9"/>
  <c r="E994" i="9"/>
  <c r="E995" i="9"/>
  <c r="E996" i="9"/>
  <c r="E997" i="9"/>
  <c r="C986" i="9"/>
  <c r="C987" i="9"/>
  <c r="C988" i="9"/>
  <c r="C989" i="9"/>
  <c r="C990" i="9"/>
  <c r="C991" i="9"/>
  <c r="D986" i="9"/>
  <c r="D987" i="9"/>
  <c r="D988" i="9"/>
  <c r="D989" i="9"/>
  <c r="D990" i="9"/>
  <c r="D991" i="9"/>
  <c r="E986" i="9"/>
  <c r="E987" i="9"/>
  <c r="E988" i="9"/>
  <c r="E989" i="9"/>
  <c r="E990" i="9"/>
  <c r="E991" i="9"/>
  <c r="C980" i="9"/>
  <c r="C981" i="9"/>
  <c r="C982" i="9"/>
  <c r="C983" i="9"/>
  <c r="C984" i="9"/>
  <c r="C985" i="9"/>
  <c r="D980" i="9"/>
  <c r="D981" i="9"/>
  <c r="D982" i="9"/>
  <c r="D983" i="9"/>
  <c r="D984" i="9"/>
  <c r="D985" i="9"/>
  <c r="E980" i="9"/>
  <c r="E981" i="9"/>
  <c r="E982" i="9"/>
  <c r="E983" i="9"/>
  <c r="E984" i="9"/>
  <c r="E985" i="9"/>
  <c r="C974" i="9"/>
  <c r="C975" i="9"/>
  <c r="C976" i="9"/>
  <c r="C977" i="9"/>
  <c r="C978" i="9"/>
  <c r="C979" i="9"/>
  <c r="D974" i="9"/>
  <c r="D975" i="9"/>
  <c r="D976" i="9"/>
  <c r="D977" i="9"/>
  <c r="D978" i="9"/>
  <c r="D979" i="9"/>
  <c r="E974" i="9"/>
  <c r="E975" i="9"/>
  <c r="E976" i="9"/>
  <c r="E977" i="9"/>
  <c r="E978" i="9"/>
  <c r="E979" i="9"/>
  <c r="C968" i="9"/>
  <c r="C969" i="9"/>
  <c r="C970" i="9"/>
  <c r="C971" i="9"/>
  <c r="C972" i="9"/>
  <c r="C973" i="9"/>
  <c r="D968" i="9"/>
  <c r="D969" i="9"/>
  <c r="D970" i="9"/>
  <c r="D971" i="9"/>
  <c r="D972" i="9"/>
  <c r="D973" i="9"/>
  <c r="E968" i="9"/>
  <c r="E969" i="9"/>
  <c r="E970" i="9"/>
  <c r="E971" i="9"/>
  <c r="E972" i="9"/>
  <c r="E973" i="9"/>
  <c r="C967" i="9"/>
  <c r="D967" i="9"/>
  <c r="E967" i="9"/>
  <c r="C966" i="9"/>
  <c r="D966" i="9"/>
  <c r="E966" i="9"/>
  <c r="C965" i="9"/>
  <c r="D965" i="9"/>
  <c r="E965" i="9"/>
  <c r="C964" i="9"/>
  <c r="D964" i="9"/>
  <c r="E964" i="9"/>
  <c r="C963" i="9"/>
  <c r="D963" i="9"/>
  <c r="E963" i="9"/>
  <c r="C962" i="9"/>
  <c r="D962" i="9"/>
  <c r="E962" i="9"/>
  <c r="A11" i="7"/>
  <c r="H16" i="14"/>
  <c r="I16" i="14" s="1"/>
  <c r="H15" i="14"/>
  <c r="I15" i="14" s="1"/>
  <c r="C501" i="9"/>
  <c r="D501" i="9"/>
  <c r="E501" i="9"/>
  <c r="C490" i="9"/>
  <c r="D490" i="9"/>
  <c r="E490" i="9"/>
  <c r="C484" i="9"/>
  <c r="D484" i="9"/>
  <c r="E484" i="9"/>
  <c r="C473" i="9"/>
  <c r="D473" i="9"/>
  <c r="E473" i="9"/>
  <c r="C467" i="9"/>
  <c r="D467" i="9"/>
  <c r="E467" i="9"/>
  <c r="C456" i="9"/>
  <c r="D456" i="9"/>
  <c r="E456" i="9"/>
  <c r="C450" i="9"/>
  <c r="D450" i="9"/>
  <c r="E450" i="9"/>
  <c r="C439" i="9"/>
  <c r="D439" i="9"/>
  <c r="E439" i="9"/>
  <c r="C433" i="9"/>
  <c r="D433" i="9"/>
  <c r="E433" i="9"/>
  <c r="C422" i="9"/>
  <c r="D422" i="9"/>
  <c r="E422" i="9"/>
  <c r="C416" i="9"/>
  <c r="D416" i="9"/>
  <c r="E416" i="9"/>
  <c r="C405" i="9"/>
  <c r="D405" i="9"/>
  <c r="E405" i="9"/>
  <c r="C481" i="9"/>
  <c r="C482" i="9"/>
  <c r="C483" i="9"/>
  <c r="C485" i="9"/>
  <c r="C486" i="9"/>
  <c r="C487" i="9"/>
  <c r="C488" i="9"/>
  <c r="C489" i="9"/>
  <c r="D481" i="9"/>
  <c r="D482" i="9"/>
  <c r="D483" i="9"/>
  <c r="D485" i="9"/>
  <c r="D486" i="9"/>
  <c r="D487" i="9"/>
  <c r="D488" i="9"/>
  <c r="D489" i="9"/>
  <c r="E481" i="9"/>
  <c r="E482" i="9"/>
  <c r="E483" i="9"/>
  <c r="E485" i="9"/>
  <c r="E486" i="9"/>
  <c r="E487" i="9"/>
  <c r="E488" i="9"/>
  <c r="E489" i="9"/>
  <c r="C491" i="9"/>
  <c r="C492" i="9"/>
  <c r="C493" i="9"/>
  <c r="C494" i="9"/>
  <c r="C495" i="9"/>
  <c r="C496" i="9"/>
  <c r="C497" i="9"/>
  <c r="C498" i="9"/>
  <c r="D491" i="9"/>
  <c r="D492" i="9"/>
  <c r="D493" i="9"/>
  <c r="D494" i="9"/>
  <c r="D495" i="9"/>
  <c r="D496" i="9"/>
  <c r="D497" i="9"/>
  <c r="D498" i="9"/>
  <c r="E491" i="9"/>
  <c r="E492" i="9"/>
  <c r="E493" i="9"/>
  <c r="E494" i="9"/>
  <c r="E495" i="9"/>
  <c r="E496" i="9"/>
  <c r="E497" i="9"/>
  <c r="E498" i="9"/>
  <c r="C499" i="9"/>
  <c r="C500" i="9"/>
  <c r="D499" i="9"/>
  <c r="D500" i="9"/>
  <c r="E499" i="9"/>
  <c r="E500" i="9"/>
  <c r="D2" i="9"/>
  <c r="E2" i="9"/>
  <c r="D3" i="9"/>
  <c r="E3" i="9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A28" i="3"/>
  <c r="H14" i="14"/>
  <c r="I14" i="14" s="1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C796" i="9"/>
  <c r="D796" i="9"/>
  <c r="E796" i="9"/>
  <c r="A10" i="7"/>
  <c r="C236" i="9"/>
  <c r="D236" i="9"/>
  <c r="E236" i="9"/>
  <c r="C237" i="9"/>
  <c r="D237" i="9"/>
  <c r="E237" i="9"/>
  <c r="C238" i="9"/>
  <c r="D238" i="9"/>
  <c r="E238" i="9"/>
  <c r="C155" i="9"/>
  <c r="D155" i="9"/>
  <c r="E155" i="9"/>
  <c r="C156" i="9"/>
  <c r="D156" i="9"/>
  <c r="E156" i="9"/>
  <c r="C175" i="9"/>
  <c r="C176" i="9"/>
  <c r="C177" i="9"/>
  <c r="C249" i="9"/>
  <c r="D249" i="9"/>
  <c r="E249" i="9"/>
  <c r="C250" i="9"/>
  <c r="D250" i="9"/>
  <c r="E250" i="9"/>
  <c r="C251" i="9"/>
  <c r="D251" i="9"/>
  <c r="E251" i="9"/>
  <c r="C242" i="9"/>
  <c r="D242" i="9"/>
  <c r="E242" i="9"/>
  <c r="C243" i="9"/>
  <c r="D243" i="9"/>
  <c r="E243" i="9"/>
  <c r="C244" i="9"/>
  <c r="D244" i="9"/>
  <c r="E244" i="9"/>
  <c r="C229" i="9"/>
  <c r="D229" i="9"/>
  <c r="E229" i="9"/>
  <c r="C230" i="9"/>
  <c r="D230" i="9"/>
  <c r="E230" i="9"/>
  <c r="C231" i="9"/>
  <c r="D231" i="9"/>
  <c r="E231" i="9"/>
  <c r="C222" i="9"/>
  <c r="D222" i="9"/>
  <c r="E222" i="9"/>
  <c r="C223" i="9"/>
  <c r="D223" i="9"/>
  <c r="E223" i="9"/>
  <c r="C224" i="9"/>
  <c r="D224" i="9"/>
  <c r="E224" i="9"/>
  <c r="C215" i="9"/>
  <c r="D215" i="9"/>
  <c r="E215" i="9"/>
  <c r="C216" i="9"/>
  <c r="D216" i="9"/>
  <c r="E216" i="9"/>
  <c r="C217" i="9"/>
  <c r="D217" i="9"/>
  <c r="E217" i="9"/>
  <c r="C209" i="9"/>
  <c r="D209" i="9"/>
  <c r="E209" i="9"/>
  <c r="C210" i="9"/>
  <c r="D210" i="9"/>
  <c r="E210" i="9"/>
  <c r="C211" i="9"/>
  <c r="D211" i="9"/>
  <c r="E211" i="9"/>
  <c r="C202" i="9"/>
  <c r="D202" i="9"/>
  <c r="E202" i="9"/>
  <c r="C203" i="9"/>
  <c r="D203" i="9"/>
  <c r="E203" i="9"/>
  <c r="C204" i="9"/>
  <c r="D204" i="9"/>
  <c r="E204" i="9"/>
  <c r="C195" i="9"/>
  <c r="D195" i="9"/>
  <c r="E195" i="9"/>
  <c r="C196" i="9"/>
  <c r="D196" i="9"/>
  <c r="E196" i="9"/>
  <c r="C197" i="9"/>
  <c r="D197" i="9"/>
  <c r="E197" i="9"/>
  <c r="C188" i="9"/>
  <c r="D188" i="9"/>
  <c r="E188" i="9"/>
  <c r="C189" i="9"/>
  <c r="D189" i="9"/>
  <c r="E189" i="9"/>
  <c r="C190" i="9"/>
  <c r="D190" i="9"/>
  <c r="E190" i="9"/>
  <c r="C182" i="9"/>
  <c r="D182" i="9"/>
  <c r="E182" i="9"/>
  <c r="C183" i="9"/>
  <c r="D183" i="9"/>
  <c r="E183" i="9"/>
  <c r="C184" i="9"/>
  <c r="D184" i="9"/>
  <c r="E184" i="9"/>
  <c r="D175" i="9"/>
  <c r="E175" i="9"/>
  <c r="D176" i="9"/>
  <c r="E176" i="9"/>
  <c r="D177" i="9"/>
  <c r="E177" i="9"/>
  <c r="C168" i="9"/>
  <c r="D168" i="9"/>
  <c r="E168" i="9"/>
  <c r="C169" i="9"/>
  <c r="D169" i="9"/>
  <c r="E169" i="9"/>
  <c r="C170" i="9"/>
  <c r="D170" i="9"/>
  <c r="E170" i="9"/>
  <c r="C161" i="9"/>
  <c r="D161" i="9"/>
  <c r="E161" i="9"/>
  <c r="C162" i="9"/>
  <c r="D162" i="9"/>
  <c r="E162" i="9"/>
  <c r="C163" i="9"/>
  <c r="D163" i="9"/>
  <c r="E163" i="9"/>
  <c r="C157" i="9"/>
  <c r="D157" i="9"/>
  <c r="E157" i="9"/>
  <c r="C148" i="9"/>
  <c r="D148" i="9"/>
  <c r="E148" i="9"/>
  <c r="C149" i="9"/>
  <c r="D149" i="9"/>
  <c r="E149" i="9"/>
  <c r="C150" i="9"/>
  <c r="D150" i="9"/>
  <c r="E150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D562" i="9"/>
  <c r="C555" i="9"/>
  <c r="C554" i="9"/>
  <c r="C553" i="9"/>
  <c r="D550" i="9"/>
  <c r="C543" i="9"/>
  <c r="C542" i="9"/>
  <c r="C541" i="9"/>
  <c r="C540" i="9"/>
  <c r="C539" i="9"/>
  <c r="D538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44" i="9"/>
  <c r="C545" i="9"/>
  <c r="C546" i="9"/>
  <c r="C547" i="9"/>
  <c r="C548" i="9"/>
  <c r="C549" i="9"/>
  <c r="C550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D527" i="9"/>
  <c r="D528" i="9"/>
  <c r="D529" i="9"/>
  <c r="D530" i="9"/>
  <c r="D531" i="9"/>
  <c r="D532" i="9"/>
  <c r="D533" i="9"/>
  <c r="D534" i="9"/>
  <c r="D535" i="9"/>
  <c r="D536" i="9"/>
  <c r="D537" i="9"/>
  <c r="D544" i="9"/>
  <c r="D545" i="9"/>
  <c r="D546" i="9"/>
  <c r="D547" i="9"/>
  <c r="D548" i="9"/>
  <c r="D549" i="9"/>
  <c r="D556" i="9"/>
  <c r="D557" i="9"/>
  <c r="D558" i="9"/>
  <c r="D559" i="9"/>
  <c r="D560" i="9"/>
  <c r="D561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E527" i="9"/>
  <c r="E528" i="9"/>
  <c r="E529" i="9"/>
  <c r="E530" i="9"/>
  <c r="E531" i="9"/>
  <c r="E532" i="9"/>
  <c r="E533" i="9"/>
  <c r="E534" i="9"/>
  <c r="E535" i="9"/>
  <c r="E536" i="9"/>
  <c r="E537" i="9"/>
  <c r="E543" i="9"/>
  <c r="E544" i="9"/>
  <c r="E545" i="9"/>
  <c r="E546" i="9"/>
  <c r="E547" i="9"/>
  <c r="E548" i="9"/>
  <c r="E549" i="9"/>
  <c r="E550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C522" i="9"/>
  <c r="C523" i="9"/>
  <c r="C524" i="9"/>
  <c r="C525" i="9"/>
  <c r="C526" i="9"/>
  <c r="D522" i="9"/>
  <c r="D523" i="9"/>
  <c r="D524" i="9"/>
  <c r="D525" i="9"/>
  <c r="D526" i="9"/>
  <c r="E522" i="9"/>
  <c r="E523" i="9"/>
  <c r="E524" i="9"/>
  <c r="E525" i="9"/>
  <c r="E526" i="9"/>
  <c r="C517" i="9"/>
  <c r="C518" i="9"/>
  <c r="C519" i="9"/>
  <c r="C520" i="9"/>
  <c r="C521" i="9"/>
  <c r="D517" i="9"/>
  <c r="D518" i="9"/>
  <c r="D519" i="9"/>
  <c r="D520" i="9"/>
  <c r="D521" i="9"/>
  <c r="E517" i="9"/>
  <c r="E518" i="9"/>
  <c r="E519" i="9"/>
  <c r="E520" i="9"/>
  <c r="E521" i="9"/>
  <c r="C512" i="9"/>
  <c r="C513" i="9"/>
  <c r="C514" i="9"/>
  <c r="C515" i="9"/>
  <c r="C516" i="9"/>
  <c r="D512" i="9"/>
  <c r="D513" i="9"/>
  <c r="D514" i="9"/>
  <c r="D515" i="9"/>
  <c r="D516" i="9"/>
  <c r="E512" i="9"/>
  <c r="E513" i="9"/>
  <c r="E514" i="9"/>
  <c r="E515" i="9"/>
  <c r="E516" i="9"/>
  <c r="C507" i="9"/>
  <c r="C508" i="9"/>
  <c r="C509" i="9"/>
  <c r="C510" i="9"/>
  <c r="C511" i="9"/>
  <c r="D507" i="9"/>
  <c r="D508" i="9"/>
  <c r="D509" i="9"/>
  <c r="D510" i="9"/>
  <c r="D511" i="9"/>
  <c r="E507" i="9"/>
  <c r="E508" i="9"/>
  <c r="E509" i="9"/>
  <c r="E510" i="9"/>
  <c r="E511" i="9"/>
  <c r="C506" i="9"/>
  <c r="D506" i="9"/>
  <c r="E506" i="9"/>
  <c r="C505" i="9"/>
  <c r="D505" i="9"/>
  <c r="E505" i="9"/>
  <c r="C504" i="9"/>
  <c r="D504" i="9"/>
  <c r="E504" i="9"/>
  <c r="C503" i="9"/>
  <c r="D503" i="9"/>
  <c r="E503" i="9"/>
  <c r="C502" i="9"/>
  <c r="D502" i="9"/>
  <c r="E502" i="9"/>
  <c r="A9" i="7"/>
  <c r="A8" i="7"/>
  <c r="C403" i="9"/>
  <c r="C404" i="9"/>
  <c r="C406" i="9"/>
  <c r="C407" i="9"/>
  <c r="C408" i="9"/>
  <c r="C409" i="9"/>
  <c r="C410" i="9"/>
  <c r="C411" i="9"/>
  <c r="C412" i="9"/>
  <c r="C413" i="9"/>
  <c r="C414" i="9"/>
  <c r="C415" i="9"/>
  <c r="C417" i="9"/>
  <c r="C418" i="9"/>
  <c r="C419" i="9"/>
  <c r="C420" i="9"/>
  <c r="C421" i="9"/>
  <c r="C423" i="9"/>
  <c r="C424" i="9"/>
  <c r="C425" i="9"/>
  <c r="C426" i="9"/>
  <c r="C427" i="9"/>
  <c r="C428" i="9"/>
  <c r="C429" i="9"/>
  <c r="C430" i="9"/>
  <c r="C431" i="9"/>
  <c r="C432" i="9"/>
  <c r="C434" i="9"/>
  <c r="C435" i="9"/>
  <c r="C436" i="9"/>
  <c r="C437" i="9"/>
  <c r="C438" i="9"/>
  <c r="C440" i="9"/>
  <c r="C441" i="9"/>
  <c r="C442" i="9"/>
  <c r="C443" i="9"/>
  <c r="C444" i="9"/>
  <c r="C445" i="9"/>
  <c r="C446" i="9"/>
  <c r="C447" i="9"/>
  <c r="C448" i="9"/>
  <c r="C449" i="9"/>
  <c r="C451" i="9"/>
  <c r="C452" i="9"/>
  <c r="C453" i="9"/>
  <c r="C454" i="9"/>
  <c r="C455" i="9"/>
  <c r="C457" i="9"/>
  <c r="C458" i="9"/>
  <c r="C459" i="9"/>
  <c r="C460" i="9"/>
  <c r="C461" i="9"/>
  <c r="C462" i="9"/>
  <c r="C463" i="9"/>
  <c r="C464" i="9"/>
  <c r="C465" i="9"/>
  <c r="C466" i="9"/>
  <c r="C468" i="9"/>
  <c r="C469" i="9"/>
  <c r="C470" i="9"/>
  <c r="C471" i="9"/>
  <c r="C472" i="9"/>
  <c r="C474" i="9"/>
  <c r="C475" i="9"/>
  <c r="C476" i="9"/>
  <c r="C477" i="9"/>
  <c r="C478" i="9"/>
  <c r="C479" i="9"/>
  <c r="C480" i="9"/>
  <c r="D403" i="9"/>
  <c r="D404" i="9"/>
  <c r="D406" i="9"/>
  <c r="D407" i="9"/>
  <c r="D408" i="9"/>
  <c r="D409" i="9"/>
  <c r="D410" i="9"/>
  <c r="D411" i="9"/>
  <c r="D412" i="9"/>
  <c r="D413" i="9"/>
  <c r="D414" i="9"/>
  <c r="D415" i="9"/>
  <c r="D417" i="9"/>
  <c r="D418" i="9"/>
  <c r="D419" i="9"/>
  <c r="D420" i="9"/>
  <c r="D421" i="9"/>
  <c r="D423" i="9"/>
  <c r="D424" i="9"/>
  <c r="D425" i="9"/>
  <c r="D426" i="9"/>
  <c r="D427" i="9"/>
  <c r="D428" i="9"/>
  <c r="D429" i="9"/>
  <c r="D430" i="9"/>
  <c r="D431" i="9"/>
  <c r="D432" i="9"/>
  <c r="D434" i="9"/>
  <c r="D435" i="9"/>
  <c r="D436" i="9"/>
  <c r="D437" i="9"/>
  <c r="D438" i="9"/>
  <c r="D440" i="9"/>
  <c r="D441" i="9"/>
  <c r="D442" i="9"/>
  <c r="D443" i="9"/>
  <c r="D444" i="9"/>
  <c r="D445" i="9"/>
  <c r="D446" i="9"/>
  <c r="D447" i="9"/>
  <c r="D448" i="9"/>
  <c r="D449" i="9"/>
  <c r="D451" i="9"/>
  <c r="D452" i="9"/>
  <c r="D453" i="9"/>
  <c r="D454" i="9"/>
  <c r="D455" i="9"/>
  <c r="D457" i="9"/>
  <c r="D458" i="9"/>
  <c r="D459" i="9"/>
  <c r="D460" i="9"/>
  <c r="D461" i="9"/>
  <c r="D462" i="9"/>
  <c r="D463" i="9"/>
  <c r="D464" i="9"/>
  <c r="D465" i="9"/>
  <c r="D466" i="9"/>
  <c r="D468" i="9"/>
  <c r="D469" i="9"/>
  <c r="D470" i="9"/>
  <c r="D471" i="9"/>
  <c r="D472" i="9"/>
  <c r="D474" i="9"/>
  <c r="D475" i="9"/>
  <c r="D476" i="9"/>
  <c r="D477" i="9"/>
  <c r="D478" i="9"/>
  <c r="D479" i="9"/>
  <c r="D480" i="9"/>
  <c r="E403" i="9"/>
  <c r="E404" i="9"/>
  <c r="E406" i="9"/>
  <c r="E407" i="9"/>
  <c r="E408" i="9"/>
  <c r="E409" i="9"/>
  <c r="E410" i="9"/>
  <c r="E411" i="9"/>
  <c r="E412" i="9"/>
  <c r="E413" i="9"/>
  <c r="E414" i="9"/>
  <c r="E415" i="9"/>
  <c r="E417" i="9"/>
  <c r="E418" i="9"/>
  <c r="E419" i="9"/>
  <c r="E420" i="9"/>
  <c r="E421" i="9"/>
  <c r="E423" i="9"/>
  <c r="E424" i="9"/>
  <c r="E425" i="9"/>
  <c r="E426" i="9"/>
  <c r="E427" i="9"/>
  <c r="E428" i="9"/>
  <c r="E429" i="9"/>
  <c r="E430" i="9"/>
  <c r="E431" i="9"/>
  <c r="E432" i="9"/>
  <c r="E434" i="9"/>
  <c r="E435" i="9"/>
  <c r="E436" i="9"/>
  <c r="E437" i="9"/>
  <c r="E438" i="9"/>
  <c r="E440" i="9"/>
  <c r="E441" i="9"/>
  <c r="E442" i="9"/>
  <c r="E443" i="9"/>
  <c r="E444" i="9"/>
  <c r="E445" i="9"/>
  <c r="E446" i="9"/>
  <c r="E447" i="9"/>
  <c r="E448" i="9"/>
  <c r="E449" i="9"/>
  <c r="E451" i="9"/>
  <c r="E452" i="9"/>
  <c r="E453" i="9"/>
  <c r="E454" i="9"/>
  <c r="E455" i="9"/>
  <c r="E457" i="9"/>
  <c r="E458" i="9"/>
  <c r="E459" i="9"/>
  <c r="E460" i="9"/>
  <c r="E461" i="9"/>
  <c r="E462" i="9"/>
  <c r="E463" i="9"/>
  <c r="E464" i="9"/>
  <c r="E465" i="9"/>
  <c r="E466" i="9"/>
  <c r="E468" i="9"/>
  <c r="E469" i="9"/>
  <c r="E470" i="9"/>
  <c r="E471" i="9"/>
  <c r="E472" i="9"/>
  <c r="E474" i="9"/>
  <c r="E475" i="9"/>
  <c r="E476" i="9"/>
  <c r="E477" i="9"/>
  <c r="E478" i="9"/>
  <c r="E479" i="9"/>
  <c r="E480" i="9"/>
  <c r="C402" i="9"/>
  <c r="D402" i="9"/>
  <c r="E402" i="9"/>
  <c r="C401" i="9"/>
  <c r="D401" i="9"/>
  <c r="E401" i="9"/>
  <c r="C400" i="9"/>
  <c r="D400" i="9"/>
  <c r="E400" i="9"/>
  <c r="A7" i="7"/>
  <c r="C139" i="9"/>
  <c r="D139" i="9"/>
  <c r="E139" i="9"/>
  <c r="C123" i="9"/>
  <c r="D123" i="9"/>
  <c r="E123" i="9"/>
  <c r="H13" i="14"/>
  <c r="I13" i="14" s="1"/>
  <c r="H12" i="14"/>
  <c r="I12" i="14" s="1"/>
  <c r="H11" i="14"/>
  <c r="I11" i="14" s="1"/>
  <c r="H10" i="14"/>
  <c r="I10" i="14" s="1"/>
  <c r="H9" i="14"/>
  <c r="I9" i="14" s="1"/>
  <c r="H8" i="14"/>
  <c r="I8" i="14" s="1"/>
  <c r="H7" i="14"/>
  <c r="I7" i="14" s="1"/>
  <c r="H6" i="14"/>
  <c r="I6" i="14" s="1"/>
  <c r="H5" i="14"/>
  <c r="I5" i="14" s="1"/>
  <c r="H4" i="14"/>
  <c r="I4" i="14" s="1"/>
  <c r="H3" i="14"/>
  <c r="I3" i="14" s="1"/>
  <c r="H2" i="14"/>
  <c r="I2" i="14" s="1"/>
  <c r="F1084" i="9" s="1"/>
  <c r="K16" i="13" a="1"/>
  <c r="K16" i="13" s="1"/>
  <c r="H16" i="13" a="1"/>
  <c r="H16" i="13" s="1"/>
  <c r="F16" i="13"/>
  <c r="K15" i="13" a="1"/>
  <c r="K15" i="13" s="1"/>
  <c r="H15" i="13" a="1"/>
  <c r="H15" i="13" s="1"/>
  <c r="F15" i="13"/>
  <c r="K14" i="13" a="1"/>
  <c r="K14" i="13" s="1"/>
  <c r="H14" i="13" a="1"/>
  <c r="H14" i="13" s="1"/>
  <c r="F14" i="13"/>
  <c r="K13" i="13" a="1"/>
  <c r="K13" i="13" s="1"/>
  <c r="H13" i="13" a="1"/>
  <c r="H13" i="13" s="1"/>
  <c r="I13" i="13" s="1"/>
  <c r="F13" i="13"/>
  <c r="K12" i="13" a="1"/>
  <c r="K12" i="13" s="1"/>
  <c r="H12" i="13" a="1"/>
  <c r="H12" i="13" s="1"/>
  <c r="F12" i="13"/>
  <c r="K11" i="13" a="1"/>
  <c r="K11" i="13" s="1"/>
  <c r="H11" i="13" a="1"/>
  <c r="H11" i="13" s="1"/>
  <c r="F11" i="13"/>
  <c r="K10" i="13" a="1"/>
  <c r="K10" i="13" s="1"/>
  <c r="H10" i="13" a="1"/>
  <c r="H10" i="13" s="1"/>
  <c r="I10" i="13" s="1"/>
  <c r="F10" i="13"/>
  <c r="K9" i="13" a="1"/>
  <c r="K9" i="13" s="1"/>
  <c r="H9" i="13" a="1"/>
  <c r="H9" i="13" s="1"/>
  <c r="F9" i="13"/>
  <c r="K8" i="13" a="1"/>
  <c r="K8" i="13" s="1"/>
  <c r="H8" i="13" a="1"/>
  <c r="H8" i="13" s="1"/>
  <c r="F8" i="13"/>
  <c r="K7" i="13" a="1"/>
  <c r="K7" i="13" s="1"/>
  <c r="H7" i="13" a="1"/>
  <c r="H7" i="13" s="1"/>
  <c r="I7" i="13" s="1"/>
  <c r="F7" i="13"/>
  <c r="K6" i="13" a="1"/>
  <c r="K6" i="13" s="1"/>
  <c r="H6" i="13" a="1"/>
  <c r="H6" i="13" s="1"/>
  <c r="F6" i="13"/>
  <c r="K5" i="13" a="1"/>
  <c r="K5" i="13" s="1"/>
  <c r="H5" i="13" a="1"/>
  <c r="H5" i="13" s="1"/>
  <c r="F5" i="13"/>
  <c r="K4" i="13" a="1"/>
  <c r="K4" i="13" s="1"/>
  <c r="H4" i="13" a="1"/>
  <c r="H4" i="13" s="1"/>
  <c r="I4" i="13" s="1"/>
  <c r="F4" i="13"/>
  <c r="K3" i="13" a="1"/>
  <c r="K3" i="13" s="1"/>
  <c r="H3" i="13" a="1"/>
  <c r="H3" i="13" s="1"/>
  <c r="F3" i="13"/>
  <c r="K2" i="13" a="1"/>
  <c r="K2" i="13" s="1"/>
  <c r="H2" i="13" a="1"/>
  <c r="H2" i="13" s="1"/>
  <c r="F2" i="13"/>
  <c r="E399" i="9"/>
  <c r="D399" i="9"/>
  <c r="C399" i="9"/>
  <c r="E398" i="9"/>
  <c r="D398" i="9"/>
  <c r="C398" i="9"/>
  <c r="E397" i="9"/>
  <c r="D397" i="9"/>
  <c r="C397" i="9"/>
  <c r="E396" i="9"/>
  <c r="D396" i="9"/>
  <c r="C396" i="9"/>
  <c r="E395" i="9"/>
  <c r="D395" i="9"/>
  <c r="C395" i="9"/>
  <c r="E394" i="9"/>
  <c r="D394" i="9"/>
  <c r="C394" i="9"/>
  <c r="E393" i="9"/>
  <c r="D393" i="9"/>
  <c r="C393" i="9"/>
  <c r="E392" i="9"/>
  <c r="D392" i="9"/>
  <c r="C392" i="9"/>
  <c r="E391" i="9"/>
  <c r="D391" i="9"/>
  <c r="C391" i="9"/>
  <c r="E390" i="9"/>
  <c r="D390" i="9"/>
  <c r="C390" i="9"/>
  <c r="E389" i="9"/>
  <c r="D389" i="9"/>
  <c r="C389" i="9"/>
  <c r="E388" i="9"/>
  <c r="D388" i="9"/>
  <c r="C388" i="9"/>
  <c r="E387" i="9"/>
  <c r="D387" i="9"/>
  <c r="C387" i="9"/>
  <c r="E386" i="9"/>
  <c r="D386" i="9"/>
  <c r="C386" i="9"/>
  <c r="E385" i="9"/>
  <c r="D385" i="9"/>
  <c r="C385" i="9"/>
  <c r="E384" i="9"/>
  <c r="D384" i="9"/>
  <c r="C384" i="9"/>
  <c r="E383" i="9"/>
  <c r="D383" i="9"/>
  <c r="C383" i="9"/>
  <c r="E382" i="9"/>
  <c r="D382" i="9"/>
  <c r="C382" i="9"/>
  <c r="E381" i="9"/>
  <c r="D381" i="9"/>
  <c r="C381" i="9"/>
  <c r="E380" i="9"/>
  <c r="D380" i="9"/>
  <c r="C380" i="9"/>
  <c r="E379" i="9"/>
  <c r="D379" i="9"/>
  <c r="C379" i="9"/>
  <c r="E378" i="9"/>
  <c r="D378" i="9"/>
  <c r="C378" i="9"/>
  <c r="E377" i="9"/>
  <c r="D377" i="9"/>
  <c r="C377" i="9"/>
  <c r="E376" i="9"/>
  <c r="D376" i="9"/>
  <c r="C376" i="9"/>
  <c r="E375" i="9"/>
  <c r="D375" i="9"/>
  <c r="C375" i="9"/>
  <c r="E374" i="9"/>
  <c r="D374" i="9"/>
  <c r="C374" i="9"/>
  <c r="E373" i="9"/>
  <c r="D373" i="9"/>
  <c r="C373" i="9"/>
  <c r="E372" i="9"/>
  <c r="D372" i="9"/>
  <c r="C372" i="9"/>
  <c r="E371" i="9"/>
  <c r="D371" i="9"/>
  <c r="C371" i="9"/>
  <c r="E370" i="9"/>
  <c r="D370" i="9"/>
  <c r="C370" i="9"/>
  <c r="E369" i="9"/>
  <c r="D369" i="9"/>
  <c r="C369" i="9"/>
  <c r="E368" i="9"/>
  <c r="D368" i="9"/>
  <c r="C368" i="9"/>
  <c r="E367" i="9"/>
  <c r="D367" i="9"/>
  <c r="C367" i="9"/>
  <c r="E366" i="9"/>
  <c r="D366" i="9"/>
  <c r="C366" i="9"/>
  <c r="E365" i="9"/>
  <c r="D365" i="9"/>
  <c r="C365" i="9"/>
  <c r="E364" i="9"/>
  <c r="D364" i="9"/>
  <c r="C364" i="9"/>
  <c r="E363" i="9"/>
  <c r="D363" i="9"/>
  <c r="C363" i="9"/>
  <c r="E362" i="9"/>
  <c r="D362" i="9"/>
  <c r="C362" i="9"/>
  <c r="E361" i="9"/>
  <c r="D361" i="9"/>
  <c r="C361" i="9"/>
  <c r="E360" i="9"/>
  <c r="D360" i="9"/>
  <c r="C360" i="9"/>
  <c r="E359" i="9"/>
  <c r="D359" i="9"/>
  <c r="C359" i="9"/>
  <c r="E358" i="9"/>
  <c r="D358" i="9"/>
  <c r="C358" i="9"/>
  <c r="E357" i="9"/>
  <c r="D357" i="9"/>
  <c r="C357" i="9"/>
  <c r="E356" i="9"/>
  <c r="D356" i="9"/>
  <c r="C356" i="9"/>
  <c r="E355" i="9"/>
  <c r="D355" i="9"/>
  <c r="C355" i="9"/>
  <c r="E354" i="9"/>
  <c r="D354" i="9"/>
  <c r="C354" i="9"/>
  <c r="E353" i="9"/>
  <c r="D353" i="9"/>
  <c r="C353" i="9"/>
  <c r="E352" i="9"/>
  <c r="D352" i="9"/>
  <c r="C352" i="9"/>
  <c r="E351" i="9"/>
  <c r="D351" i="9"/>
  <c r="C351" i="9"/>
  <c r="E350" i="9"/>
  <c r="D350" i="9"/>
  <c r="C350" i="9"/>
  <c r="E349" i="9"/>
  <c r="D349" i="9"/>
  <c r="C349" i="9"/>
  <c r="E348" i="9"/>
  <c r="D348" i="9"/>
  <c r="C348" i="9"/>
  <c r="E347" i="9"/>
  <c r="D347" i="9"/>
  <c r="C347" i="9"/>
  <c r="E346" i="9"/>
  <c r="D346" i="9"/>
  <c r="C346" i="9"/>
  <c r="E345" i="9"/>
  <c r="D345" i="9"/>
  <c r="C345" i="9"/>
  <c r="E344" i="9"/>
  <c r="D344" i="9"/>
  <c r="C344" i="9"/>
  <c r="E343" i="9"/>
  <c r="D343" i="9"/>
  <c r="C343" i="9"/>
  <c r="E342" i="9"/>
  <c r="D342" i="9"/>
  <c r="C342" i="9"/>
  <c r="E341" i="9"/>
  <c r="D341" i="9"/>
  <c r="C341" i="9"/>
  <c r="E340" i="9"/>
  <c r="D340" i="9"/>
  <c r="C340" i="9"/>
  <c r="E339" i="9"/>
  <c r="D339" i="9"/>
  <c r="C339" i="9"/>
  <c r="E338" i="9"/>
  <c r="D338" i="9"/>
  <c r="C338" i="9"/>
  <c r="E337" i="9"/>
  <c r="D337" i="9"/>
  <c r="C337" i="9"/>
  <c r="E336" i="9"/>
  <c r="D336" i="9"/>
  <c r="C336" i="9"/>
  <c r="E335" i="9"/>
  <c r="D335" i="9"/>
  <c r="C335" i="9"/>
  <c r="E334" i="9"/>
  <c r="D334" i="9"/>
  <c r="C334" i="9"/>
  <c r="E333" i="9"/>
  <c r="D333" i="9"/>
  <c r="C333" i="9"/>
  <c r="E332" i="9"/>
  <c r="D332" i="9"/>
  <c r="C332" i="9"/>
  <c r="E331" i="9"/>
  <c r="D331" i="9"/>
  <c r="C331" i="9"/>
  <c r="E330" i="9"/>
  <c r="D330" i="9"/>
  <c r="C330" i="9"/>
  <c r="E329" i="9"/>
  <c r="D329" i="9"/>
  <c r="C329" i="9"/>
  <c r="E328" i="9"/>
  <c r="D328" i="9"/>
  <c r="C328" i="9"/>
  <c r="E327" i="9"/>
  <c r="D327" i="9"/>
  <c r="C327" i="9"/>
  <c r="E326" i="9"/>
  <c r="D326" i="9"/>
  <c r="C326" i="9"/>
  <c r="E325" i="9"/>
  <c r="D325" i="9"/>
  <c r="C325" i="9"/>
  <c r="E324" i="9"/>
  <c r="D324" i="9"/>
  <c r="C324" i="9"/>
  <c r="E323" i="9"/>
  <c r="D323" i="9"/>
  <c r="C323" i="9"/>
  <c r="E322" i="9"/>
  <c r="D322" i="9"/>
  <c r="C322" i="9"/>
  <c r="E321" i="9"/>
  <c r="D321" i="9"/>
  <c r="C321" i="9"/>
  <c r="E320" i="9"/>
  <c r="D320" i="9"/>
  <c r="C320" i="9"/>
  <c r="E319" i="9"/>
  <c r="D319" i="9"/>
  <c r="C319" i="9"/>
  <c r="E318" i="9"/>
  <c r="D318" i="9"/>
  <c r="C318" i="9"/>
  <c r="E317" i="9"/>
  <c r="D317" i="9"/>
  <c r="C317" i="9"/>
  <c r="E316" i="9"/>
  <c r="D316" i="9"/>
  <c r="C316" i="9"/>
  <c r="E315" i="9"/>
  <c r="D315" i="9"/>
  <c r="C315" i="9"/>
  <c r="E314" i="9"/>
  <c r="D314" i="9"/>
  <c r="C314" i="9"/>
  <c r="E313" i="9"/>
  <c r="D313" i="9"/>
  <c r="C313" i="9"/>
  <c r="E312" i="9"/>
  <c r="D312" i="9"/>
  <c r="C312" i="9"/>
  <c r="E311" i="9"/>
  <c r="D311" i="9"/>
  <c r="C311" i="9"/>
  <c r="E310" i="9"/>
  <c r="D310" i="9"/>
  <c r="C310" i="9"/>
  <c r="E309" i="9"/>
  <c r="D309" i="9"/>
  <c r="C309" i="9"/>
  <c r="E308" i="9"/>
  <c r="D308" i="9"/>
  <c r="C308" i="9"/>
  <c r="E307" i="9"/>
  <c r="D307" i="9"/>
  <c r="C307" i="9"/>
  <c r="E306" i="9"/>
  <c r="D306" i="9"/>
  <c r="C306" i="9"/>
  <c r="E305" i="9"/>
  <c r="D305" i="9"/>
  <c r="C305" i="9"/>
  <c r="E304" i="9"/>
  <c r="D304" i="9"/>
  <c r="C304" i="9"/>
  <c r="E303" i="9"/>
  <c r="D303" i="9"/>
  <c r="C303" i="9"/>
  <c r="E302" i="9"/>
  <c r="D302" i="9"/>
  <c r="C302" i="9"/>
  <c r="E301" i="9"/>
  <c r="D301" i="9"/>
  <c r="C301" i="9"/>
  <c r="E300" i="9"/>
  <c r="D300" i="9"/>
  <c r="C300" i="9"/>
  <c r="E299" i="9"/>
  <c r="D299" i="9"/>
  <c r="C299" i="9"/>
  <c r="E298" i="9"/>
  <c r="D298" i="9"/>
  <c r="C298" i="9"/>
  <c r="E297" i="9"/>
  <c r="D297" i="9"/>
  <c r="C297" i="9"/>
  <c r="E296" i="9"/>
  <c r="D296" i="9"/>
  <c r="C296" i="9"/>
  <c r="E295" i="9"/>
  <c r="D295" i="9"/>
  <c r="C295" i="9"/>
  <c r="E294" i="9"/>
  <c r="D294" i="9"/>
  <c r="C294" i="9"/>
  <c r="E293" i="9"/>
  <c r="D293" i="9"/>
  <c r="C293" i="9"/>
  <c r="E292" i="9"/>
  <c r="D292" i="9"/>
  <c r="C292" i="9"/>
  <c r="E291" i="9"/>
  <c r="D291" i="9"/>
  <c r="C291" i="9"/>
  <c r="E290" i="9"/>
  <c r="D290" i="9"/>
  <c r="C290" i="9"/>
  <c r="E289" i="9"/>
  <c r="D289" i="9"/>
  <c r="C289" i="9"/>
  <c r="E288" i="9"/>
  <c r="D288" i="9"/>
  <c r="C288" i="9"/>
  <c r="E287" i="9"/>
  <c r="D287" i="9"/>
  <c r="C287" i="9"/>
  <c r="E286" i="9"/>
  <c r="D286" i="9"/>
  <c r="C286" i="9"/>
  <c r="E285" i="9"/>
  <c r="D285" i="9"/>
  <c r="C285" i="9"/>
  <c r="E284" i="9"/>
  <c r="D284" i="9"/>
  <c r="C284" i="9"/>
  <c r="E283" i="9"/>
  <c r="D283" i="9"/>
  <c r="C283" i="9"/>
  <c r="E282" i="9"/>
  <c r="D282" i="9"/>
  <c r="C282" i="9"/>
  <c r="E281" i="9"/>
  <c r="D281" i="9"/>
  <c r="C281" i="9"/>
  <c r="E280" i="9"/>
  <c r="D280" i="9"/>
  <c r="C280" i="9"/>
  <c r="E279" i="9"/>
  <c r="D279" i="9"/>
  <c r="C279" i="9"/>
  <c r="E278" i="9"/>
  <c r="D278" i="9"/>
  <c r="C278" i="9"/>
  <c r="E277" i="9"/>
  <c r="D277" i="9"/>
  <c r="C277" i="9"/>
  <c r="E276" i="9"/>
  <c r="D276" i="9"/>
  <c r="C276" i="9"/>
  <c r="E275" i="9"/>
  <c r="D275" i="9"/>
  <c r="C275" i="9"/>
  <c r="E274" i="9"/>
  <c r="D274" i="9"/>
  <c r="C274" i="9"/>
  <c r="E273" i="9"/>
  <c r="D273" i="9"/>
  <c r="C273" i="9"/>
  <c r="E272" i="9"/>
  <c r="D272" i="9"/>
  <c r="C272" i="9"/>
  <c r="E271" i="9"/>
  <c r="D271" i="9"/>
  <c r="C271" i="9"/>
  <c r="E270" i="9"/>
  <c r="D270" i="9"/>
  <c r="C270" i="9"/>
  <c r="E269" i="9"/>
  <c r="D269" i="9"/>
  <c r="C269" i="9"/>
  <c r="E268" i="9"/>
  <c r="D268" i="9"/>
  <c r="C268" i="9"/>
  <c r="E267" i="9"/>
  <c r="D267" i="9"/>
  <c r="C267" i="9"/>
  <c r="E266" i="9"/>
  <c r="D266" i="9"/>
  <c r="C266" i="9"/>
  <c r="E265" i="9"/>
  <c r="D265" i="9"/>
  <c r="C265" i="9"/>
  <c r="E264" i="9"/>
  <c r="D264" i="9"/>
  <c r="C264" i="9"/>
  <c r="E263" i="9"/>
  <c r="D263" i="9"/>
  <c r="C263" i="9"/>
  <c r="E262" i="9"/>
  <c r="D262" i="9"/>
  <c r="C262" i="9"/>
  <c r="E261" i="9"/>
  <c r="D261" i="9"/>
  <c r="C261" i="9"/>
  <c r="E260" i="9"/>
  <c r="D260" i="9"/>
  <c r="C260" i="9"/>
  <c r="E259" i="9"/>
  <c r="D259" i="9"/>
  <c r="C259" i="9"/>
  <c r="E258" i="9"/>
  <c r="D258" i="9"/>
  <c r="C258" i="9"/>
  <c r="E257" i="9"/>
  <c r="D257" i="9"/>
  <c r="C257" i="9"/>
  <c r="E256" i="9"/>
  <c r="D256" i="9"/>
  <c r="C256" i="9"/>
  <c r="E255" i="9"/>
  <c r="D255" i="9"/>
  <c r="C255" i="9"/>
  <c r="E254" i="9"/>
  <c r="D254" i="9"/>
  <c r="C254" i="9"/>
  <c r="E253" i="9"/>
  <c r="D253" i="9"/>
  <c r="C253" i="9"/>
  <c r="E252" i="9"/>
  <c r="D252" i="9"/>
  <c r="C252" i="9"/>
  <c r="E248" i="9"/>
  <c r="D248" i="9"/>
  <c r="C248" i="9"/>
  <c r="E247" i="9"/>
  <c r="D247" i="9"/>
  <c r="C247" i="9"/>
  <c r="E246" i="9"/>
  <c r="D246" i="9"/>
  <c r="C246" i="9"/>
  <c r="E245" i="9"/>
  <c r="D245" i="9"/>
  <c r="C245" i="9"/>
  <c r="E241" i="9"/>
  <c r="D241" i="9"/>
  <c r="C241" i="9"/>
  <c r="E240" i="9"/>
  <c r="D240" i="9"/>
  <c r="C240" i="9"/>
  <c r="E239" i="9"/>
  <c r="D239" i="9"/>
  <c r="C239" i="9"/>
  <c r="E235" i="9"/>
  <c r="D235" i="9"/>
  <c r="C235" i="9"/>
  <c r="E234" i="9"/>
  <c r="D234" i="9"/>
  <c r="C234" i="9"/>
  <c r="E233" i="9"/>
  <c r="D233" i="9"/>
  <c r="C233" i="9"/>
  <c r="E232" i="9"/>
  <c r="D232" i="9"/>
  <c r="C232" i="9"/>
  <c r="E228" i="9"/>
  <c r="D228" i="9"/>
  <c r="C228" i="9"/>
  <c r="E227" i="9"/>
  <c r="D227" i="9"/>
  <c r="C227" i="9"/>
  <c r="E226" i="9"/>
  <c r="D226" i="9"/>
  <c r="C226" i="9"/>
  <c r="E225" i="9"/>
  <c r="D225" i="9"/>
  <c r="C225" i="9"/>
  <c r="E221" i="9"/>
  <c r="D221" i="9"/>
  <c r="C221" i="9"/>
  <c r="E220" i="9"/>
  <c r="D220" i="9"/>
  <c r="C220" i="9"/>
  <c r="E219" i="9"/>
  <c r="D219" i="9"/>
  <c r="C219" i="9"/>
  <c r="E218" i="9"/>
  <c r="D218" i="9"/>
  <c r="C218" i="9"/>
  <c r="E214" i="9"/>
  <c r="D214" i="9"/>
  <c r="C214" i="9"/>
  <c r="E213" i="9"/>
  <c r="D213" i="9"/>
  <c r="C213" i="9"/>
  <c r="E212" i="9"/>
  <c r="D212" i="9"/>
  <c r="C212" i="9"/>
  <c r="E208" i="9"/>
  <c r="D208" i="9"/>
  <c r="C208" i="9"/>
  <c r="E207" i="9"/>
  <c r="D207" i="9"/>
  <c r="C207" i="9"/>
  <c r="E206" i="9"/>
  <c r="D206" i="9"/>
  <c r="C206" i="9"/>
  <c r="E205" i="9"/>
  <c r="D205" i="9"/>
  <c r="C205" i="9"/>
  <c r="E201" i="9"/>
  <c r="D201" i="9"/>
  <c r="C201" i="9"/>
  <c r="E200" i="9"/>
  <c r="D200" i="9"/>
  <c r="C200" i="9"/>
  <c r="E199" i="9"/>
  <c r="D199" i="9"/>
  <c r="C199" i="9"/>
  <c r="E198" i="9"/>
  <c r="D198" i="9"/>
  <c r="C198" i="9"/>
  <c r="E194" i="9"/>
  <c r="D194" i="9"/>
  <c r="C194" i="9"/>
  <c r="E193" i="9"/>
  <c r="D193" i="9"/>
  <c r="C193" i="9"/>
  <c r="E192" i="9"/>
  <c r="D192" i="9"/>
  <c r="C192" i="9"/>
  <c r="E191" i="9"/>
  <c r="D191" i="9"/>
  <c r="C191" i="9"/>
  <c r="E187" i="9"/>
  <c r="D187" i="9"/>
  <c r="C187" i="9"/>
  <c r="E186" i="9"/>
  <c r="D186" i="9"/>
  <c r="C186" i="9"/>
  <c r="E185" i="9"/>
  <c r="D185" i="9"/>
  <c r="C185" i="9"/>
  <c r="E181" i="9"/>
  <c r="D181" i="9"/>
  <c r="C181" i="9"/>
  <c r="E180" i="9"/>
  <c r="D180" i="9"/>
  <c r="C180" i="9"/>
  <c r="E179" i="9"/>
  <c r="D179" i="9"/>
  <c r="C179" i="9"/>
  <c r="E178" i="9"/>
  <c r="D178" i="9"/>
  <c r="C178" i="9"/>
  <c r="E174" i="9"/>
  <c r="D174" i="9"/>
  <c r="C174" i="9"/>
  <c r="E173" i="9"/>
  <c r="D173" i="9"/>
  <c r="C173" i="9"/>
  <c r="E172" i="9"/>
  <c r="D172" i="9"/>
  <c r="C172" i="9"/>
  <c r="E171" i="9"/>
  <c r="D171" i="9"/>
  <c r="C171" i="9"/>
  <c r="E167" i="9"/>
  <c r="D167" i="9"/>
  <c r="C167" i="9"/>
  <c r="E166" i="9"/>
  <c r="D166" i="9"/>
  <c r="C166" i="9"/>
  <c r="E165" i="9"/>
  <c r="D165" i="9"/>
  <c r="C165" i="9"/>
  <c r="E164" i="9"/>
  <c r="D164" i="9"/>
  <c r="C164" i="9"/>
  <c r="E160" i="9"/>
  <c r="D160" i="9"/>
  <c r="C160" i="9"/>
  <c r="E159" i="9"/>
  <c r="D159" i="9"/>
  <c r="C159" i="9"/>
  <c r="E158" i="9"/>
  <c r="D158" i="9"/>
  <c r="C158" i="9"/>
  <c r="E154" i="9"/>
  <c r="D154" i="9"/>
  <c r="C154" i="9"/>
  <c r="E153" i="9"/>
  <c r="D153" i="9"/>
  <c r="C153" i="9"/>
  <c r="E152" i="9"/>
  <c r="D152" i="9"/>
  <c r="C152" i="9"/>
  <c r="E151" i="9"/>
  <c r="D151" i="9"/>
  <c r="C151" i="9"/>
  <c r="E147" i="9"/>
  <c r="D147" i="9"/>
  <c r="C147" i="9"/>
  <c r="E146" i="9"/>
  <c r="D146" i="9"/>
  <c r="C146" i="9"/>
  <c r="E145" i="9"/>
  <c r="D145" i="9"/>
  <c r="C145" i="9"/>
  <c r="E144" i="9"/>
  <c r="D144" i="9"/>
  <c r="C144" i="9"/>
  <c r="E143" i="9"/>
  <c r="D143" i="9"/>
  <c r="C143" i="9"/>
  <c r="E142" i="9"/>
  <c r="D142" i="9"/>
  <c r="C142" i="9"/>
  <c r="E141" i="9"/>
  <c r="D141" i="9"/>
  <c r="C141" i="9"/>
  <c r="E140" i="9"/>
  <c r="D140" i="9"/>
  <c r="C140" i="9"/>
  <c r="E138" i="9"/>
  <c r="D138" i="9"/>
  <c r="C138" i="9"/>
  <c r="E137" i="9"/>
  <c r="D137" i="9"/>
  <c r="C137" i="9"/>
  <c r="E136" i="9"/>
  <c r="D136" i="9"/>
  <c r="C136" i="9"/>
  <c r="E135" i="9"/>
  <c r="D135" i="9"/>
  <c r="C135" i="9"/>
  <c r="E134" i="9"/>
  <c r="D134" i="9"/>
  <c r="C134" i="9"/>
  <c r="E133" i="9"/>
  <c r="D133" i="9"/>
  <c r="C133" i="9"/>
  <c r="E132" i="9"/>
  <c r="D132" i="9"/>
  <c r="C132" i="9"/>
  <c r="E131" i="9"/>
  <c r="D131" i="9"/>
  <c r="C131" i="9"/>
  <c r="E130" i="9"/>
  <c r="D130" i="9"/>
  <c r="C130" i="9"/>
  <c r="E129" i="9"/>
  <c r="D129" i="9"/>
  <c r="C129" i="9"/>
  <c r="E128" i="9"/>
  <c r="D128" i="9"/>
  <c r="C128" i="9"/>
  <c r="E127" i="9"/>
  <c r="D127" i="9"/>
  <c r="C127" i="9"/>
  <c r="E126" i="9"/>
  <c r="D126" i="9"/>
  <c r="C126" i="9"/>
  <c r="E125" i="9"/>
  <c r="D125" i="9"/>
  <c r="C125" i="9"/>
  <c r="E124" i="9"/>
  <c r="D124" i="9"/>
  <c r="C124" i="9"/>
  <c r="E122" i="9"/>
  <c r="D122" i="9"/>
  <c r="C122" i="9"/>
  <c r="E121" i="9"/>
  <c r="D121" i="9"/>
  <c r="C121" i="9"/>
  <c r="E120" i="9"/>
  <c r="D120" i="9"/>
  <c r="C120" i="9"/>
  <c r="E119" i="9"/>
  <c r="D119" i="9"/>
  <c r="C119" i="9"/>
  <c r="E118" i="9"/>
  <c r="D118" i="9"/>
  <c r="C118" i="9"/>
  <c r="E117" i="9"/>
  <c r="D117" i="9"/>
  <c r="C117" i="9"/>
  <c r="E116" i="9"/>
  <c r="D116" i="9"/>
  <c r="C116" i="9"/>
  <c r="E115" i="9"/>
  <c r="D115" i="9"/>
  <c r="C115" i="9"/>
  <c r="E114" i="9"/>
  <c r="D114" i="9"/>
  <c r="C114" i="9"/>
  <c r="E113" i="9"/>
  <c r="D113" i="9"/>
  <c r="C113" i="9"/>
  <c r="E112" i="9"/>
  <c r="D112" i="9"/>
  <c r="C112" i="9"/>
  <c r="E111" i="9"/>
  <c r="D111" i="9"/>
  <c r="C111" i="9"/>
  <c r="E110" i="9"/>
  <c r="D110" i="9"/>
  <c r="C110" i="9"/>
  <c r="E109" i="9"/>
  <c r="D109" i="9"/>
  <c r="C109" i="9"/>
  <c r="E108" i="9"/>
  <c r="D108" i="9"/>
  <c r="C108" i="9"/>
  <c r="E107" i="9"/>
  <c r="D107" i="9"/>
  <c r="C107" i="9"/>
  <c r="E106" i="9"/>
  <c r="D106" i="9"/>
  <c r="C106" i="9"/>
  <c r="E105" i="9"/>
  <c r="D105" i="9"/>
  <c r="C105" i="9"/>
  <c r="E104" i="9"/>
  <c r="D104" i="9"/>
  <c r="C104" i="9"/>
  <c r="E103" i="9"/>
  <c r="D103" i="9"/>
  <c r="C103" i="9"/>
  <c r="E102" i="9"/>
  <c r="D102" i="9"/>
  <c r="C102" i="9"/>
  <c r="E101" i="9"/>
  <c r="D101" i="9"/>
  <c r="C101" i="9"/>
  <c r="E100" i="9"/>
  <c r="D100" i="9"/>
  <c r="C100" i="9"/>
  <c r="E99" i="9"/>
  <c r="D99" i="9"/>
  <c r="C99" i="9"/>
  <c r="E98" i="9"/>
  <c r="D98" i="9"/>
  <c r="C98" i="9"/>
  <c r="E97" i="9"/>
  <c r="D97" i="9"/>
  <c r="C97" i="9"/>
  <c r="E96" i="9"/>
  <c r="D96" i="9"/>
  <c r="C96" i="9"/>
  <c r="E95" i="9"/>
  <c r="D95" i="9"/>
  <c r="C95" i="9"/>
  <c r="E94" i="9"/>
  <c r="D94" i="9"/>
  <c r="C94" i="9"/>
  <c r="E93" i="9"/>
  <c r="D93" i="9"/>
  <c r="C93" i="9"/>
  <c r="E92" i="9"/>
  <c r="D92" i="9"/>
  <c r="C92" i="9"/>
  <c r="E91" i="9"/>
  <c r="D91" i="9"/>
  <c r="C91" i="9"/>
  <c r="E90" i="9"/>
  <c r="D90" i="9"/>
  <c r="C90" i="9"/>
  <c r="E89" i="9"/>
  <c r="D89" i="9"/>
  <c r="C89" i="9"/>
  <c r="E88" i="9"/>
  <c r="D88" i="9"/>
  <c r="C88" i="9"/>
  <c r="E87" i="9"/>
  <c r="D87" i="9"/>
  <c r="C87" i="9"/>
  <c r="E86" i="9"/>
  <c r="D86" i="9"/>
  <c r="C86" i="9"/>
  <c r="A6" i="7"/>
  <c r="A5" i="7"/>
  <c r="A4" i="7"/>
  <c r="A3" i="7"/>
  <c r="A2" i="7"/>
  <c r="A27" i="3"/>
  <c r="A26" i="3"/>
  <c r="A25" i="3"/>
  <c r="A24" i="3"/>
  <c r="A23" i="3"/>
  <c r="A22" i="3"/>
  <c r="A21" i="3"/>
  <c r="C61" i="2" a="1"/>
  <c r="C61" i="2" s="1"/>
  <c r="C60" i="2" a="1"/>
  <c r="C60" i="2" s="1"/>
  <c r="C59" i="2" a="1"/>
  <c r="C59" i="2" s="1"/>
  <c r="C58" i="2" a="1"/>
  <c r="C58" i="2"/>
  <c r="C57" i="2" a="1"/>
  <c r="C57" i="2"/>
  <c r="C56" i="2" a="1"/>
  <c r="C56" i="2" s="1"/>
  <c r="C55" i="2" a="1"/>
  <c r="C55" i="2"/>
  <c r="C54" i="2" a="1"/>
  <c r="C54" i="2" s="1"/>
  <c r="C53" i="2" a="1"/>
  <c r="C53" i="2" s="1"/>
  <c r="C52" i="2" a="1"/>
  <c r="C52" i="2" s="1"/>
  <c r="C51" i="2" a="1"/>
  <c r="C51" i="2"/>
  <c r="C50" i="2" a="1"/>
  <c r="C50" i="2" s="1"/>
  <c r="C12" i="13" s="1"/>
  <c r="C49" i="2" a="1"/>
  <c r="C49" i="2"/>
  <c r="C48" i="2" a="1"/>
  <c r="C48" i="2"/>
  <c r="C14" i="13" s="1"/>
  <c r="C47" i="2" a="1"/>
  <c r="C47" i="2" s="1"/>
  <c r="C13" i="13" s="1"/>
  <c r="C46" i="2" a="1"/>
  <c r="C46" i="2" s="1"/>
  <c r="C45" i="2" a="1"/>
  <c r="C45" i="2"/>
  <c r="C44" i="2" a="1"/>
  <c r="C44" i="2" s="1"/>
  <c r="C43" i="2" a="1"/>
  <c r="C43" i="2"/>
  <c r="C2" i="13" s="1"/>
  <c r="C42" i="2" a="1"/>
  <c r="C42" i="2"/>
  <c r="C4" i="13" s="1"/>
  <c r="C41" i="2" a="1"/>
  <c r="C41" i="2" s="1"/>
  <c r="C5" i="13" s="1"/>
  <c r="C40" i="2" a="1"/>
  <c r="C40" i="2"/>
  <c r="C39" i="2" a="1"/>
  <c r="C39" i="2"/>
  <c r="C38" i="2" a="1"/>
  <c r="C38" i="2" s="1"/>
  <c r="C3" i="13" s="1"/>
  <c r="C37" i="2" a="1"/>
  <c r="C37" i="2"/>
  <c r="C36" i="2" a="1"/>
  <c r="C36" i="2"/>
  <c r="C35" i="2" a="1"/>
  <c r="C35" i="2" s="1"/>
  <c r="C15" i="13" s="1"/>
  <c r="C34" i="2" a="1"/>
  <c r="C34" i="2"/>
  <c r="C33" i="2" a="1"/>
  <c r="C33" i="2"/>
  <c r="C6" i="13" s="1"/>
  <c r="C32" i="2" a="1"/>
  <c r="C32" i="2" s="1"/>
  <c r="C31" i="2" a="1"/>
  <c r="C31" i="2" s="1"/>
  <c r="C30" i="2" a="1"/>
  <c r="C30" i="2"/>
  <c r="C29" i="2" a="1"/>
  <c r="C29" i="2" s="1"/>
  <c r="C28" i="2" a="1"/>
  <c r="C28" i="2" s="1"/>
  <c r="C27" i="2" a="1"/>
  <c r="C27" i="2"/>
  <c r="C7" i="13" s="1"/>
  <c r="C26" i="2" a="1"/>
  <c r="C26" i="2" s="1"/>
  <c r="C25" i="2" a="1"/>
  <c r="C25" i="2" s="1"/>
  <c r="C24" i="2" a="1"/>
  <c r="C24" i="2" s="1"/>
  <c r="C23" i="2" a="1"/>
  <c r="C23" i="2" s="1"/>
  <c r="C22" i="2" a="1"/>
  <c r="C22" i="2"/>
  <c r="C21" i="2" a="1"/>
  <c r="C21" i="2"/>
  <c r="C9" i="13" s="1"/>
  <c r="C20" i="2" a="1"/>
  <c r="C20" i="2" s="1"/>
  <c r="C19" i="2" a="1"/>
  <c r="C19" i="2"/>
  <c r="C18" i="2" a="1"/>
  <c r="C18" i="2" s="1"/>
  <c r="C17" i="2" a="1"/>
  <c r="C17" i="2" s="1"/>
  <c r="C16" i="2" a="1"/>
  <c r="C16" i="2" s="1"/>
  <c r="C15" i="2" a="1"/>
  <c r="C15" i="2"/>
  <c r="C14" i="2" a="1"/>
  <c r="C14" i="2" s="1"/>
  <c r="C13" i="2" a="1"/>
  <c r="C13" i="2" s="1"/>
  <c r="C12" i="2" a="1"/>
  <c r="C12" i="2"/>
  <c r="C11" i="2" a="1"/>
  <c r="C11" i="2" s="1"/>
  <c r="C10" i="2" a="1"/>
  <c r="C10" i="2" s="1"/>
  <c r="C16" i="13" s="1"/>
  <c r="C9" i="2" a="1"/>
  <c r="C9" i="2"/>
  <c r="C8" i="2" a="1"/>
  <c r="C8" i="2" s="1"/>
  <c r="C7" i="2" a="1"/>
  <c r="C7" i="2"/>
  <c r="C10" i="13" s="1"/>
  <c r="C6" i="2" a="1"/>
  <c r="C6" i="2" s="1"/>
  <c r="C11" i="13" s="1"/>
  <c r="C5" i="2" a="1"/>
  <c r="C5" i="2" s="1"/>
  <c r="C8" i="13" s="1"/>
  <c r="C4" i="2" a="1"/>
  <c r="C4" i="2" s="1"/>
  <c r="C3" i="2" a="1"/>
  <c r="C3" i="2"/>
  <c r="C2" i="2" a="1"/>
  <c r="C2" i="2" s="1"/>
  <c r="B309" i="8" l="1"/>
  <c r="B301" i="8"/>
  <c r="B296" i="8"/>
  <c r="B288" i="8"/>
  <c r="B310" i="8"/>
  <c r="B308" i="8"/>
  <c r="B287" i="8"/>
  <c r="B307" i="8"/>
  <c r="B286" i="8"/>
  <c r="B306" i="8"/>
  <c r="B295" i="8"/>
  <c r="B294" i="8"/>
  <c r="B293" i="8"/>
  <c r="B292" i="8"/>
  <c r="B300" i="8"/>
  <c r="B291" i="8"/>
  <c r="B299" i="8"/>
  <c r="B289" i="8"/>
  <c r="B298" i="8"/>
  <c r="B297" i="8"/>
  <c r="B281" i="8"/>
  <c r="B305" i="8"/>
  <c r="B282" i="8"/>
  <c r="B304" i="8"/>
  <c r="B283" i="8"/>
  <c r="B303" i="8"/>
  <c r="B284" i="8"/>
  <c r="B302" i="8"/>
  <c r="B285" i="8"/>
  <c r="B290" i="8"/>
  <c r="F1071" i="9"/>
  <c r="F1070" i="9"/>
  <c r="F1096" i="9"/>
  <c r="F1093" i="9"/>
  <c r="F1048" i="9"/>
  <c r="F1047" i="9"/>
  <c r="F1057" i="9"/>
  <c r="F1042" i="9"/>
  <c r="F1105" i="9"/>
  <c r="F1023" i="9"/>
  <c r="F1032" i="9"/>
  <c r="F1043" i="9"/>
  <c r="F1136" i="9"/>
  <c r="F1038" i="9"/>
  <c r="F1137" i="9"/>
  <c r="F1053" i="9"/>
  <c r="F1077" i="9"/>
  <c r="F1083" i="9"/>
  <c r="F1139" i="9"/>
  <c r="F1037" i="9"/>
  <c r="F1082" i="9"/>
  <c r="F1110" i="9"/>
  <c r="F1138" i="9"/>
  <c r="F1022" i="9"/>
  <c r="F1036" i="9"/>
  <c r="F1101" i="9"/>
  <c r="F1121" i="9"/>
  <c r="F1109" i="9"/>
  <c r="F1074" i="9"/>
  <c r="F1119" i="9"/>
  <c r="F1108" i="9"/>
  <c r="F1067" i="9"/>
  <c r="F1073" i="9"/>
  <c r="F1072" i="9"/>
  <c r="F1098" i="9"/>
  <c r="F1133" i="9"/>
  <c r="F1132" i="9"/>
  <c r="F1045" i="9"/>
  <c r="F1103" i="9"/>
  <c r="F1102" i="9"/>
  <c r="F1129" i="9"/>
  <c r="F1128" i="9"/>
  <c r="F1061" i="9"/>
  <c r="F1078" i="9"/>
  <c r="F1065" i="9"/>
  <c r="F1134" i="9"/>
  <c r="F1118" i="9"/>
  <c r="F1130" i="9"/>
  <c r="F1126" i="9"/>
  <c r="F1026" i="9"/>
  <c r="F1059" i="9"/>
  <c r="F1068" i="9"/>
  <c r="F1117" i="9"/>
  <c r="F1127" i="9"/>
  <c r="F1125" i="9"/>
  <c r="F1058" i="9"/>
  <c r="F1062" i="9"/>
  <c r="F1088" i="9"/>
  <c r="F1116" i="9"/>
  <c r="F1041" i="9"/>
  <c r="F1081" i="9"/>
  <c r="F1097" i="9"/>
  <c r="F1123" i="9"/>
  <c r="F1029" i="9"/>
  <c r="F1091" i="9"/>
  <c r="F1122" i="9"/>
  <c r="F1028" i="9"/>
  <c r="F1034" i="9"/>
  <c r="F1039" i="9"/>
  <c r="F1087" i="9"/>
  <c r="F1085" i="9"/>
  <c r="F1113" i="9"/>
  <c r="F1141" i="9"/>
  <c r="F1027" i="9"/>
  <c r="F1054" i="9"/>
  <c r="F1112" i="9"/>
  <c r="F1092" i="9"/>
  <c r="F1030" i="9"/>
  <c r="B262" i="8"/>
  <c r="B271" i="8"/>
  <c r="B223" i="8"/>
  <c r="B243" i="8"/>
  <c r="B263" i="8"/>
  <c r="B231" i="8"/>
  <c r="B221" i="8"/>
  <c r="B224" i="8"/>
  <c r="B244" i="8"/>
  <c r="B264" i="8"/>
  <c r="B252" i="8"/>
  <c r="B237" i="8"/>
  <c r="B225" i="8"/>
  <c r="B245" i="8"/>
  <c r="B265" i="8"/>
  <c r="B226" i="8"/>
  <c r="B246" i="8"/>
  <c r="B266" i="8"/>
  <c r="B227" i="8"/>
  <c r="B247" i="8"/>
  <c r="B267" i="8"/>
  <c r="B228" i="8"/>
  <c r="B268" i="8"/>
  <c r="B257" i="8"/>
  <c r="B248" i="8"/>
  <c r="B229" i="8"/>
  <c r="B249" i="8"/>
  <c r="B269" i="8"/>
  <c r="B232" i="8"/>
  <c r="B230" i="8"/>
  <c r="B250" i="8"/>
  <c r="B270" i="8"/>
  <c r="B251" i="8"/>
  <c r="B233" i="8"/>
  <c r="B253" i="8"/>
  <c r="B273" i="8"/>
  <c r="B234" i="8"/>
  <c r="B254" i="8"/>
  <c r="B274" i="8"/>
  <c r="B235" i="8"/>
  <c r="B255" i="8"/>
  <c r="B275" i="8"/>
  <c r="B272" i="8"/>
  <c r="B236" i="8"/>
  <c r="B276" i="8"/>
  <c r="B256" i="8"/>
  <c r="B277" i="8"/>
  <c r="B238" i="8"/>
  <c r="B258" i="8"/>
  <c r="B278" i="8"/>
  <c r="B239" i="8"/>
  <c r="B259" i="8"/>
  <c r="B279" i="8"/>
  <c r="B240" i="8"/>
  <c r="B260" i="8"/>
  <c r="B280" i="8"/>
  <c r="B241" i="8"/>
  <c r="B261" i="8"/>
  <c r="B222" i="8"/>
  <c r="B242" i="8"/>
  <c r="F1016" i="9"/>
  <c r="F971" i="9"/>
  <c r="F1020" i="9"/>
  <c r="F996" i="9"/>
  <c r="F1019" i="9"/>
  <c r="F987" i="9"/>
  <c r="F995" i="9"/>
  <c r="F988" i="9"/>
  <c r="F1021" i="9"/>
  <c r="F997" i="9"/>
  <c r="F994" i="9"/>
  <c r="F1017" i="9"/>
  <c r="F973" i="9"/>
  <c r="F993" i="9"/>
  <c r="F972" i="9"/>
  <c r="F977" i="9"/>
  <c r="F1007" i="9"/>
  <c r="F969" i="9"/>
  <c r="F966" i="9"/>
  <c r="F976" i="9"/>
  <c r="F1006" i="9"/>
  <c r="F970" i="9"/>
  <c r="F1013" i="9"/>
  <c r="F962" i="9"/>
  <c r="F983" i="9"/>
  <c r="F1014" i="9"/>
  <c r="F965" i="9"/>
  <c r="F1009" i="9"/>
  <c r="F1008" i="9"/>
  <c r="F982" i="9"/>
  <c r="F1004" i="9"/>
  <c r="F981" i="9"/>
  <c r="F991" i="9"/>
  <c r="F1015" i="9"/>
  <c r="F990" i="9"/>
  <c r="F1011" i="9"/>
  <c r="F1018" i="9"/>
  <c r="F1000" i="9"/>
  <c r="F978" i="9"/>
  <c r="F989" i="9"/>
  <c r="F484" i="9"/>
  <c r="F498" i="9"/>
  <c r="F486" i="9"/>
  <c r="F439" i="9"/>
  <c r="F482" i="9"/>
  <c r="F481" i="9"/>
  <c r="F473" i="9"/>
  <c r="F485" i="9"/>
  <c r="F483" i="9"/>
  <c r="F496" i="9"/>
  <c r="F490" i="9"/>
  <c r="F494" i="9"/>
  <c r="F493" i="9"/>
  <c r="F84" i="9"/>
  <c r="F491" i="9"/>
  <c r="F456" i="9"/>
  <c r="F73" i="9"/>
  <c r="F416" i="9"/>
  <c r="F83" i="9"/>
  <c r="F72" i="9"/>
  <c r="F80" i="9"/>
  <c r="F467" i="9"/>
  <c r="F79" i="9"/>
  <c r="F489" i="9"/>
  <c r="F81" i="9"/>
  <c r="F74" i="9"/>
  <c r="F499" i="9"/>
  <c r="F652" i="9"/>
  <c r="B205" i="8"/>
  <c r="F28" i="9"/>
  <c r="F31" i="9"/>
  <c r="F61" i="9"/>
  <c r="F69" i="9"/>
  <c r="F54" i="9"/>
  <c r="F943" i="9"/>
  <c r="F811" i="9"/>
  <c r="F32" i="9"/>
  <c r="F11" i="9"/>
  <c r="F128" i="9"/>
  <c r="F159" i="9"/>
  <c r="F20" i="9"/>
  <c r="F7" i="9"/>
  <c r="F59" i="9"/>
  <c r="F145" i="9"/>
  <c r="F58" i="9"/>
  <c r="F103" i="9"/>
  <c r="F40" i="9"/>
  <c r="F919" i="9"/>
  <c r="F29" i="9"/>
  <c r="F19" i="9"/>
  <c r="F42" i="9"/>
  <c r="F17" i="9"/>
  <c r="F3" i="9"/>
  <c r="F37" i="9"/>
  <c r="F91" i="9"/>
  <c r="F45" i="9"/>
  <c r="F10" i="9"/>
  <c r="F36" i="9"/>
  <c r="F18" i="9"/>
  <c r="F44" i="9"/>
  <c r="F895" i="9"/>
  <c r="F5" i="9"/>
  <c r="F27" i="9"/>
  <c r="F35" i="9"/>
  <c r="F43" i="9"/>
  <c r="F49" i="9"/>
  <c r="F57" i="9"/>
  <c r="F65" i="9"/>
  <c r="F89" i="9"/>
  <c r="F97" i="9"/>
  <c r="F90" i="9"/>
  <c r="F140" i="9"/>
  <c r="F165" i="9"/>
  <c r="F245" i="9"/>
  <c r="F201" i="9"/>
  <c r="F232" i="9"/>
  <c r="F261" i="9"/>
  <c r="F194" i="9"/>
  <c r="F253" i="9"/>
  <c r="F100" i="9"/>
  <c r="F129" i="9"/>
  <c r="F153" i="9"/>
  <c r="F191" i="9"/>
  <c r="F240" i="9"/>
  <c r="F247" i="9"/>
  <c r="F104" i="9"/>
  <c r="F142" i="9"/>
  <c r="F160" i="9"/>
  <c r="F401" i="9"/>
  <c r="F406" i="9"/>
  <c r="F517" i="9"/>
  <c r="F525" i="9"/>
  <c r="F625" i="9"/>
  <c r="F613" i="9"/>
  <c r="F601" i="9"/>
  <c r="F589" i="9"/>
  <c r="F138" i="9"/>
  <c r="F164" i="9"/>
  <c r="F220" i="9"/>
  <c r="F248" i="9"/>
  <c r="F109" i="9"/>
  <c r="F192" i="9"/>
  <c r="F259" i="9"/>
  <c r="F113" i="9"/>
  <c r="F130" i="9"/>
  <c r="F287" i="9"/>
  <c r="F303" i="9"/>
  <c r="F323" i="9"/>
  <c r="F94" i="9"/>
  <c r="F122" i="9"/>
  <c r="F135" i="9"/>
  <c r="F179" i="9"/>
  <c r="F186" i="9"/>
  <c r="F228" i="9"/>
  <c r="F339" i="9"/>
  <c r="F577" i="9"/>
  <c r="F565" i="9"/>
  <c r="F532" i="9"/>
  <c r="F268" i="9"/>
  <c r="F281" i="9"/>
  <c r="F371" i="9"/>
  <c r="F502" i="9"/>
  <c r="F506" i="9"/>
  <c r="F626" i="9"/>
  <c r="F614" i="9"/>
  <c r="F566" i="9"/>
  <c r="F795" i="9"/>
  <c r="F783" i="9"/>
  <c r="F771" i="9"/>
  <c r="F759" i="9"/>
  <c r="F735" i="9"/>
  <c r="F723" i="9"/>
  <c r="F312" i="9"/>
  <c r="F332" i="9"/>
  <c r="F431" i="9"/>
  <c r="F636" i="9"/>
  <c r="F612" i="9"/>
  <c r="F276" i="9"/>
  <c r="F308" i="9"/>
  <c r="F459" i="9"/>
  <c r="F624" i="9"/>
  <c r="F588" i="9"/>
  <c r="F293" i="9"/>
  <c r="F341" i="9"/>
  <c r="F353" i="9"/>
  <c r="F377" i="9"/>
  <c r="F389" i="9"/>
  <c r="F468" i="9"/>
  <c r="F441" i="9"/>
  <c r="F741" i="9"/>
  <c r="F705" i="9"/>
  <c r="F681" i="9"/>
  <c r="F161" i="9"/>
  <c r="F177" i="9"/>
  <c r="F182" i="9"/>
  <c r="F197" i="9"/>
  <c r="F203" i="9"/>
  <c r="F224" i="9"/>
  <c r="F242" i="9"/>
  <c r="F317" i="9"/>
  <c r="F329" i="9"/>
  <c r="F139" i="9"/>
  <c r="F507" i="9"/>
  <c r="F515" i="9"/>
  <c r="F607" i="9"/>
  <c r="F595" i="9"/>
  <c r="F294" i="9"/>
  <c r="F302" i="9"/>
  <c r="F310" i="9"/>
  <c r="F479" i="9"/>
  <c r="F465" i="9"/>
  <c r="F438" i="9"/>
  <c r="F425" i="9"/>
  <c r="F270" i="9"/>
  <c r="F278" i="9"/>
  <c r="F298" i="9"/>
  <c r="F314" i="9"/>
  <c r="F478" i="9"/>
  <c r="F464" i="9"/>
  <c r="F451" i="9"/>
  <c r="F437" i="9"/>
  <c r="F424" i="9"/>
  <c r="F410" i="9"/>
  <c r="F505" i="9"/>
  <c r="F641" i="9"/>
  <c r="F617" i="9"/>
  <c r="F774" i="9"/>
  <c r="F935" i="9"/>
  <c r="F512" i="9"/>
  <c r="F604" i="9"/>
  <c r="F592" i="9"/>
  <c r="F653" i="9"/>
  <c r="F761" i="9"/>
  <c r="F749" i="9"/>
  <c r="F737" i="9"/>
  <c r="F701" i="9"/>
  <c r="F689" i="9"/>
  <c r="F677" i="9"/>
  <c r="F175" i="9"/>
  <c r="F347" i="9"/>
  <c r="F359" i="9"/>
  <c r="F391" i="9"/>
  <c r="F395" i="9"/>
  <c r="F639" i="9"/>
  <c r="F784" i="9"/>
  <c r="F772" i="9"/>
  <c r="F748" i="9"/>
  <c r="F820" i="9"/>
  <c r="F381" i="9"/>
  <c r="J4" i="13"/>
  <c r="F518" i="9"/>
  <c r="F638" i="9"/>
  <c r="F578" i="9"/>
  <c r="F736" i="9"/>
  <c r="F724" i="9"/>
  <c r="F700" i="9"/>
  <c r="F688" i="9"/>
  <c r="F676" i="9"/>
  <c r="F664" i="9"/>
  <c r="F870" i="9"/>
  <c r="F810" i="9"/>
  <c r="F798" i="9"/>
  <c r="F519" i="9"/>
  <c r="F637" i="9"/>
  <c r="F549" i="9"/>
  <c r="F747" i="9"/>
  <c r="F663" i="9"/>
  <c r="F651" i="9"/>
  <c r="F150" i="9"/>
  <c r="F163" i="9"/>
  <c r="F169" i="9"/>
  <c r="F184" i="9"/>
  <c r="F195" i="9"/>
  <c r="F211" i="9"/>
  <c r="F216" i="9"/>
  <c r="F222" i="9"/>
  <c r="F244" i="9"/>
  <c r="F250" i="9"/>
  <c r="F155" i="9"/>
  <c r="F929" i="9"/>
  <c r="F809" i="9"/>
  <c r="F725" i="9"/>
  <c r="F4" i="9"/>
  <c r="F212" i="9"/>
  <c r="F382" i="9"/>
  <c r="F600" i="9"/>
  <c r="F576" i="9"/>
  <c r="F564" i="9"/>
  <c r="F531" i="9"/>
  <c r="F794" i="9"/>
  <c r="F782" i="9"/>
  <c r="F770" i="9"/>
  <c r="F746" i="9"/>
  <c r="F734" i="9"/>
  <c r="F722" i="9"/>
  <c r="F710" i="9"/>
  <c r="F698" i="9"/>
  <c r="F686" i="9"/>
  <c r="F674" i="9"/>
  <c r="F662" i="9"/>
  <c r="F650" i="9"/>
  <c r="F796" i="9"/>
  <c r="F856" i="9"/>
  <c r="F807" i="9"/>
  <c r="F952" i="9"/>
  <c r="F940" i="9"/>
  <c r="F928" i="9"/>
  <c r="F916" i="9"/>
  <c r="F904" i="9"/>
  <c r="F892" i="9"/>
  <c r="F880" i="9"/>
  <c r="F868" i="9"/>
  <c r="F844" i="9"/>
  <c r="F832" i="9"/>
  <c r="F808" i="9"/>
  <c r="F357" i="9"/>
  <c r="F603" i="9"/>
  <c r="F665" i="9"/>
  <c r="F116" i="9"/>
  <c r="F146" i="9"/>
  <c r="F374" i="9"/>
  <c r="F390" i="9"/>
  <c r="F123" i="9"/>
  <c r="F523" i="9"/>
  <c r="F647" i="9"/>
  <c r="F635" i="9"/>
  <c r="F623" i="9"/>
  <c r="F611" i="9"/>
  <c r="F587" i="9"/>
  <c r="F575" i="9"/>
  <c r="F563" i="9"/>
  <c r="F530" i="9"/>
  <c r="F793" i="9"/>
  <c r="F769" i="9"/>
  <c r="F733" i="9"/>
  <c r="F721" i="9"/>
  <c r="F709" i="9"/>
  <c r="F697" i="9"/>
  <c r="F685" i="9"/>
  <c r="F673" i="9"/>
  <c r="F661" i="9"/>
  <c r="F649" i="9"/>
  <c r="F951" i="9"/>
  <c r="F939" i="9"/>
  <c r="F927" i="9"/>
  <c r="F915" i="9"/>
  <c r="F903" i="9"/>
  <c r="F891" i="9"/>
  <c r="F879" i="9"/>
  <c r="F867" i="9"/>
  <c r="F843" i="9"/>
  <c r="F60" i="9"/>
  <c r="F88" i="9"/>
  <c r="F342" i="9"/>
  <c r="F386" i="9"/>
  <c r="F394" i="9"/>
  <c r="F470" i="9"/>
  <c r="F457" i="9"/>
  <c r="F443" i="9"/>
  <c r="F429" i="9"/>
  <c r="F415" i="9"/>
  <c r="F610" i="9"/>
  <c r="F598" i="9"/>
  <c r="F586" i="9"/>
  <c r="F574" i="9"/>
  <c r="F562" i="9"/>
  <c r="F546" i="9"/>
  <c r="F529" i="9"/>
  <c r="F792" i="9"/>
  <c r="F780" i="9"/>
  <c r="F756" i="9"/>
  <c r="F708" i="9"/>
  <c r="F696" i="9"/>
  <c r="F684" i="9"/>
  <c r="F660" i="9"/>
  <c r="F149" i="9"/>
  <c r="F162" i="9"/>
  <c r="F168" i="9"/>
  <c r="F183" i="9"/>
  <c r="F188" i="9"/>
  <c r="F204" i="9"/>
  <c r="F210" i="9"/>
  <c r="F215" i="9"/>
  <c r="F243" i="9"/>
  <c r="F238" i="9"/>
  <c r="F854" i="9"/>
  <c r="F950" i="9"/>
  <c r="F938" i="9"/>
  <c r="F926" i="9"/>
  <c r="F914" i="9"/>
  <c r="F902" i="9"/>
  <c r="F890" i="9"/>
  <c r="F878" i="9"/>
  <c r="F866" i="9"/>
  <c r="F842" i="9"/>
  <c r="F830" i="9"/>
  <c r="F806" i="9"/>
  <c r="F121" i="9"/>
  <c r="F154" i="9"/>
  <c r="F375" i="9"/>
  <c r="F469" i="9"/>
  <c r="F455" i="9"/>
  <c r="F442" i="9"/>
  <c r="F428" i="9"/>
  <c r="F414" i="9"/>
  <c r="F509" i="9"/>
  <c r="F609" i="9"/>
  <c r="F597" i="9"/>
  <c r="F585" i="9"/>
  <c r="F573" i="9"/>
  <c r="F561" i="9"/>
  <c r="F528" i="9"/>
  <c r="F791" i="9"/>
  <c r="F755" i="9"/>
  <c r="F743" i="9"/>
  <c r="F683" i="9"/>
  <c r="F853" i="9"/>
  <c r="F961" i="9"/>
  <c r="F949" i="9"/>
  <c r="F937" i="9"/>
  <c r="F93" i="9"/>
  <c r="F227" i="9"/>
  <c r="F504" i="9"/>
  <c r="F508" i="9"/>
  <c r="F608" i="9"/>
  <c r="F596" i="9"/>
  <c r="F584" i="9"/>
  <c r="F560" i="9"/>
  <c r="F544" i="9"/>
  <c r="F527" i="9"/>
  <c r="F790" i="9"/>
  <c r="F730" i="9"/>
  <c r="F706" i="9"/>
  <c r="F887" i="9"/>
  <c r="F875" i="9"/>
  <c r="F863" i="9"/>
  <c r="F851" i="9"/>
  <c r="F144" i="9"/>
  <c r="F296" i="9"/>
  <c r="F380" i="9"/>
  <c r="F388" i="9"/>
  <c r="F396" i="9"/>
  <c r="F514" i="9"/>
  <c r="F642" i="9"/>
  <c r="F618" i="9"/>
  <c r="F606" i="9"/>
  <c r="F582" i="9"/>
  <c r="F558" i="9"/>
  <c r="F537" i="9"/>
  <c r="F788" i="9"/>
  <c r="F716" i="9"/>
  <c r="F704" i="9"/>
  <c r="F958" i="9"/>
  <c r="F946" i="9"/>
  <c r="F922" i="9"/>
  <c r="F898" i="9"/>
  <c r="F874" i="9"/>
  <c r="F862" i="9"/>
  <c r="F826" i="9"/>
  <c r="F814" i="9"/>
  <c r="F174" i="9"/>
  <c r="F657" i="9"/>
  <c r="F235" i="9"/>
  <c r="F284" i="9"/>
  <c r="F292" i="9"/>
  <c r="F344" i="9"/>
  <c r="F513" i="9"/>
  <c r="F629" i="9"/>
  <c r="F581" i="9"/>
  <c r="F557" i="9"/>
  <c r="F536" i="9"/>
  <c r="F655" i="9"/>
  <c r="F775" i="9"/>
  <c r="F763" i="9"/>
  <c r="F751" i="9"/>
  <c r="F739" i="9"/>
  <c r="F727" i="9"/>
  <c r="F715" i="9"/>
  <c r="F703" i="9"/>
  <c r="F691" i="9"/>
  <c r="F679" i="9"/>
  <c r="F667" i="9"/>
  <c r="F176" i="9"/>
  <c r="F933" i="9"/>
  <c r="F921" i="9"/>
  <c r="F909" i="9"/>
  <c r="F897" i="9"/>
  <c r="F825" i="9"/>
  <c r="F520" i="9"/>
  <c r="F786" i="9"/>
  <c r="F762" i="9"/>
  <c r="F750" i="9"/>
  <c r="F738" i="9"/>
  <c r="F726" i="9"/>
  <c r="F714" i="9"/>
  <c r="F702" i="9"/>
  <c r="F678" i="9"/>
  <c r="F170" i="9"/>
  <c r="F190" i="9"/>
  <c r="F217" i="9"/>
  <c r="F223" i="9"/>
  <c r="F156" i="9"/>
  <c r="F236" i="9"/>
  <c r="F920" i="9"/>
  <c r="F896" i="9"/>
  <c r="F872" i="9"/>
  <c r="F836" i="9"/>
  <c r="B206" i="8"/>
  <c r="B198" i="8"/>
  <c r="B196" i="8"/>
  <c r="B197" i="8"/>
  <c r="B216" i="8"/>
  <c r="B204" i="8"/>
  <c r="B215" i="8"/>
  <c r="B203" i="8"/>
  <c r="B213" i="8"/>
  <c r="B201" i="8"/>
  <c r="B202" i="8"/>
  <c r="B212" i="8"/>
  <c r="B200" i="8"/>
  <c r="B214" i="8"/>
  <c r="B211" i="8"/>
  <c r="B199" i="8"/>
  <c r="B209" i="8"/>
  <c r="B220" i="8"/>
  <c r="B208" i="8"/>
  <c r="B210" i="8"/>
  <c r="B219" i="8"/>
  <c r="B207" i="8"/>
  <c r="B218" i="8"/>
  <c r="B217" i="8"/>
  <c r="B176" i="8"/>
  <c r="B193" i="8"/>
  <c r="B172" i="8"/>
  <c r="B181" i="8"/>
  <c r="B188" i="8"/>
  <c r="B136" i="8"/>
  <c r="B187" i="8"/>
  <c r="B175" i="8"/>
  <c r="B186" i="8"/>
  <c r="B174" i="8"/>
  <c r="B173" i="8"/>
  <c r="B171" i="8"/>
  <c r="B184" i="8"/>
  <c r="B183" i="8"/>
  <c r="B185" i="8"/>
  <c r="B195" i="8"/>
  <c r="B194" i="8"/>
  <c r="B182" i="8"/>
  <c r="B180" i="8"/>
  <c r="B192" i="8"/>
  <c r="B179" i="8"/>
  <c r="B191" i="8"/>
  <c r="B190" i="8"/>
  <c r="B178" i="8"/>
  <c r="B189" i="8"/>
  <c r="B177" i="8"/>
  <c r="E554" i="9"/>
  <c r="E542" i="9"/>
  <c r="D555" i="9"/>
  <c r="D543" i="9"/>
  <c r="E553" i="9"/>
  <c r="E541" i="9"/>
  <c r="F541" i="9" s="1"/>
  <c r="D554" i="9"/>
  <c r="D542" i="9"/>
  <c r="E552" i="9"/>
  <c r="E540" i="9"/>
  <c r="D553" i="9"/>
  <c r="D541" i="9"/>
  <c r="E551" i="9"/>
  <c r="E539" i="9"/>
  <c r="D552" i="9"/>
  <c r="D540" i="9"/>
  <c r="E538" i="9"/>
  <c r="D551" i="9"/>
  <c r="D539" i="9"/>
  <c r="C552" i="9"/>
  <c r="C551" i="9"/>
  <c r="B168" i="8"/>
  <c r="B156" i="8"/>
  <c r="B165" i="8"/>
  <c r="B153" i="8"/>
  <c r="B167" i="8"/>
  <c r="B166" i="8"/>
  <c r="B152" i="8"/>
  <c r="B155" i="8"/>
  <c r="B154" i="8"/>
  <c r="B163" i="8"/>
  <c r="B151" i="8"/>
  <c r="B162" i="8"/>
  <c r="B150" i="8"/>
  <c r="B164" i="8"/>
  <c r="B161" i="8"/>
  <c r="B149" i="8"/>
  <c r="B160" i="8"/>
  <c r="B148" i="8"/>
  <c r="B159" i="8"/>
  <c r="B147" i="8"/>
  <c r="B158" i="8"/>
  <c r="B169" i="8"/>
  <c r="B146" i="8"/>
  <c r="B157" i="8"/>
  <c r="B170" i="8"/>
  <c r="B137" i="8"/>
  <c r="B128" i="8"/>
  <c r="B132" i="8"/>
  <c r="B51" i="8"/>
  <c r="B131" i="8"/>
  <c r="B135" i="8"/>
  <c r="B130" i="8"/>
  <c r="B134" i="8"/>
  <c r="B129" i="8"/>
  <c r="B144" i="8"/>
  <c r="B143" i="8"/>
  <c r="B133" i="8"/>
  <c r="B142" i="8"/>
  <c r="B141" i="8"/>
  <c r="B140" i="8"/>
  <c r="B139" i="8"/>
  <c r="B138" i="8"/>
  <c r="B145" i="8"/>
  <c r="B112" i="8"/>
  <c r="B45" i="8"/>
  <c r="B10" i="8"/>
  <c r="B52" i="8"/>
  <c r="B57" i="8"/>
  <c r="B63" i="8"/>
  <c r="B64" i="8"/>
  <c r="B21" i="8"/>
  <c r="B27" i="8"/>
  <c r="B39" i="8"/>
  <c r="B15" i="8"/>
  <c r="B28" i="8"/>
  <c r="B33" i="8"/>
  <c r="B3" i="8"/>
  <c r="B40" i="8"/>
  <c r="B9" i="8"/>
  <c r="B75" i="8"/>
  <c r="B76" i="8"/>
  <c r="B104" i="8"/>
  <c r="B91" i="8"/>
  <c r="B117" i="8"/>
  <c r="B120" i="8"/>
  <c r="B69" i="8"/>
  <c r="B96" i="8"/>
  <c r="B125" i="8"/>
  <c r="B81" i="8"/>
  <c r="B5" i="8"/>
  <c r="B17" i="8"/>
  <c r="B23" i="8"/>
  <c r="B35" i="8"/>
  <c r="B47" i="8"/>
  <c r="B59" i="8"/>
  <c r="B71" i="8"/>
  <c r="B83" i="8"/>
  <c r="B88" i="8"/>
  <c r="B101" i="8"/>
  <c r="B109" i="8"/>
  <c r="B122" i="8"/>
  <c r="I5" i="13"/>
  <c r="J5" i="13" s="1"/>
  <c r="B8" i="8"/>
  <c r="B26" i="8"/>
  <c r="B38" i="8"/>
  <c r="B50" i="8"/>
  <c r="B62" i="8"/>
  <c r="B74" i="8"/>
  <c r="B86" i="8"/>
  <c r="B107" i="8"/>
  <c r="B123" i="8"/>
  <c r="B111" i="8"/>
  <c r="B99" i="8"/>
  <c r="B87" i="8"/>
  <c r="B13" i="8"/>
  <c r="B31" i="8"/>
  <c r="B43" i="8"/>
  <c r="B55" i="8"/>
  <c r="B67" i="8"/>
  <c r="B79" i="8"/>
  <c r="B94" i="8"/>
  <c r="B102" i="8"/>
  <c r="B115" i="8"/>
  <c r="B6" i="8"/>
  <c r="B18" i="8"/>
  <c r="B24" i="8"/>
  <c r="B36" i="8"/>
  <c r="B48" i="8"/>
  <c r="B60" i="8"/>
  <c r="B72" i="8"/>
  <c r="B84" i="8"/>
  <c r="B89" i="8"/>
  <c r="B97" i="8"/>
  <c r="B110" i="8"/>
  <c r="B11" i="8"/>
  <c r="B29" i="8"/>
  <c r="B41" i="8"/>
  <c r="B53" i="8"/>
  <c r="B65" i="8"/>
  <c r="B77" i="8"/>
  <c r="B92" i="8"/>
  <c r="B105" i="8"/>
  <c r="B118" i="8"/>
  <c r="B126" i="8"/>
  <c r="B4" i="8"/>
  <c r="B16" i="8"/>
  <c r="B22" i="8"/>
  <c r="B34" i="8"/>
  <c r="B46" i="8"/>
  <c r="B58" i="8"/>
  <c r="B70" i="8"/>
  <c r="B82" i="8"/>
  <c r="B100" i="8"/>
  <c r="B113" i="8"/>
  <c r="B121" i="8"/>
  <c r="B116" i="8"/>
  <c r="B2" i="8"/>
  <c r="B14" i="8"/>
  <c r="B20" i="8"/>
  <c r="B32" i="8"/>
  <c r="B44" i="8"/>
  <c r="B56" i="8"/>
  <c r="B68" i="8"/>
  <c r="B80" i="8"/>
  <c r="B90" i="8"/>
  <c r="B103" i="8"/>
  <c r="B124" i="8"/>
  <c r="B108" i="8"/>
  <c r="B7" i="8"/>
  <c r="B19" i="8"/>
  <c r="B25" i="8"/>
  <c r="B37" i="8"/>
  <c r="B49" i="8"/>
  <c r="B61" i="8"/>
  <c r="B73" i="8"/>
  <c r="B85" i="8"/>
  <c r="B98" i="8"/>
  <c r="B119" i="8"/>
  <c r="B95" i="8"/>
  <c r="B12" i="8"/>
  <c r="B30" i="8"/>
  <c r="B42" i="8"/>
  <c r="B54" i="8"/>
  <c r="B66" i="8"/>
  <c r="B78" i="8"/>
  <c r="B93" i="8"/>
  <c r="B106" i="8"/>
  <c r="B114" i="8"/>
  <c r="B127" i="8"/>
  <c r="J13" i="13"/>
  <c r="J10" i="13"/>
  <c r="I2" i="13"/>
  <c r="J2" i="13" s="1"/>
  <c r="I14" i="13"/>
  <c r="J14" i="13" s="1"/>
  <c r="J7" i="13"/>
  <c r="I11" i="13"/>
  <c r="J11" i="13" s="1"/>
  <c r="I8" i="13"/>
  <c r="J8" i="13" s="1"/>
  <c r="I3" i="13"/>
  <c r="J3" i="13" s="1"/>
  <c r="I6" i="13"/>
  <c r="J6" i="13" s="1"/>
  <c r="I9" i="13"/>
  <c r="J9" i="13" s="1"/>
  <c r="I12" i="13"/>
  <c r="J12" i="13" s="1"/>
  <c r="I15" i="13"/>
  <c r="J15" i="13" s="1"/>
  <c r="I16" i="13"/>
  <c r="J16" i="13" s="1"/>
  <c r="F1044" i="9" l="1"/>
  <c r="F1080" i="9"/>
  <c r="F1120" i="9"/>
  <c r="F1104" i="9"/>
  <c r="F1140" i="9"/>
  <c r="F1064" i="9"/>
  <c r="F1100" i="9"/>
  <c r="F1060" i="9"/>
  <c r="F1124" i="9"/>
  <c r="F1024" i="9"/>
  <c r="F1115" i="9"/>
  <c r="F1095" i="9"/>
  <c r="F1075" i="9"/>
  <c r="F1055" i="9"/>
  <c r="F1035" i="9"/>
  <c r="F1046" i="9"/>
  <c r="F1052" i="9"/>
  <c r="F1114" i="9"/>
  <c r="F1069" i="9"/>
  <c r="F1076" i="9"/>
  <c r="F1025" i="9"/>
  <c r="F1099" i="9"/>
  <c r="F1079" i="9"/>
  <c r="F1063" i="9"/>
  <c r="F1094" i="9"/>
  <c r="F1086" i="9"/>
  <c r="F1107" i="9"/>
  <c r="F1135" i="9"/>
  <c r="F1090" i="9"/>
  <c r="F1106" i="9"/>
  <c r="F1131" i="9"/>
  <c r="F1111" i="9"/>
  <c r="F1033" i="9"/>
  <c r="F1031" i="9"/>
  <c r="F1040" i="9"/>
  <c r="F1066" i="9"/>
  <c r="F1056" i="9"/>
  <c r="F1050" i="9"/>
  <c r="F1089" i="9"/>
  <c r="D306" i="8" a="1"/>
  <c r="D306" i="8" s="1"/>
  <c r="D307" i="8" a="1"/>
  <c r="D307" i="8" s="1"/>
  <c r="D308" i="8" a="1"/>
  <c r="D308" i="8" s="1"/>
  <c r="D309" i="8" a="1"/>
  <c r="D309" i="8" s="1"/>
  <c r="D310" i="8" a="1"/>
  <c r="D310" i="8" s="1"/>
  <c r="D301" i="8" a="1"/>
  <c r="D301" i="8" s="1"/>
  <c r="D302" i="8" a="1"/>
  <c r="D302" i="8" s="1"/>
  <c r="D303" i="8" a="1"/>
  <c r="D303" i="8" s="1"/>
  <c r="D304" i="8" a="1"/>
  <c r="D304" i="8" s="1"/>
  <c r="D305" i="8" a="1"/>
  <c r="D305" i="8" s="1"/>
  <c r="D298" i="8" a="1"/>
  <c r="D298" i="8" s="1"/>
  <c r="D296" i="8" a="1"/>
  <c r="D296" i="8" s="1"/>
  <c r="D297" i="8" a="1"/>
  <c r="D297" i="8" s="1"/>
  <c r="D299" i="8" a="1"/>
  <c r="D299" i="8" s="1"/>
  <c r="D300" i="8" a="1"/>
  <c r="D300" i="8" s="1"/>
  <c r="D292" i="8" a="1"/>
  <c r="D292" i="8" s="1"/>
  <c r="D293" i="8" a="1"/>
  <c r="D293" i="8" s="1"/>
  <c r="D291" i="8" a="1"/>
  <c r="D291" i="8" s="1"/>
  <c r="D295" i="8" a="1"/>
  <c r="D295" i="8" s="1"/>
  <c r="D294" i="8" a="1"/>
  <c r="D294" i="8" s="1"/>
  <c r="D288" i="8" a="1"/>
  <c r="D288" i="8" s="1"/>
  <c r="D286" i="8" a="1"/>
  <c r="D286" i="8" s="1"/>
  <c r="D287" i="8" a="1"/>
  <c r="D287" i="8" s="1"/>
  <c r="D290" i="8" a="1"/>
  <c r="D290" i="8" s="1"/>
  <c r="D289" i="8" a="1"/>
  <c r="D289" i="8" s="1"/>
  <c r="D285" i="8" a="1"/>
  <c r="D285" i="8" s="1"/>
  <c r="D284" i="8" a="1"/>
  <c r="D284" i="8" s="1"/>
  <c r="D283" i="8" a="1"/>
  <c r="D283" i="8" s="1"/>
  <c r="D282" i="8" a="1"/>
  <c r="D282" i="8" s="1"/>
  <c r="D281" i="8" a="1"/>
  <c r="D281" i="8" s="1"/>
  <c r="D238" i="8" a="1"/>
  <c r="D238" i="8" s="1"/>
  <c r="E238" i="8" s="1"/>
  <c r="D263" i="8" a="1"/>
  <c r="D263" i="8" s="1"/>
  <c r="E263" i="8" s="1"/>
  <c r="F1001" i="9"/>
  <c r="F975" i="9"/>
  <c r="F998" i="9"/>
  <c r="F963" i="9"/>
  <c r="F1012" i="9"/>
  <c r="F1003" i="9"/>
  <c r="F968" i="9"/>
  <c r="F1010" i="9"/>
  <c r="F974" i="9"/>
  <c r="F964" i="9"/>
  <c r="F986" i="9"/>
  <c r="F967" i="9"/>
  <c r="F984" i="9"/>
  <c r="F980" i="9"/>
  <c r="F1002" i="9"/>
  <c r="F999" i="9"/>
  <c r="F979" i="9"/>
  <c r="F1005" i="9"/>
  <c r="F985" i="9"/>
  <c r="F992" i="9"/>
  <c r="F488" i="9"/>
  <c r="F70" i="9"/>
  <c r="D223" i="8" a="1"/>
  <c r="D223" i="8" s="1"/>
  <c r="D257" i="8" a="1"/>
  <c r="D257" i="8" s="1"/>
  <c r="D245" i="8" a="1"/>
  <c r="D245" i="8" s="1"/>
  <c r="D265" i="8" a="1"/>
  <c r="D265" i="8" s="1"/>
  <c r="D225" i="8" a="1"/>
  <c r="D225" i="8" s="1"/>
  <c r="D253" i="8" a="1"/>
  <c r="D253" i="8" s="1"/>
  <c r="D247" i="8" a="1"/>
  <c r="D247" i="8" s="1"/>
  <c r="D249" i="8" a="1"/>
  <c r="D249" i="8" s="1"/>
  <c r="D229" i="8" a="1"/>
  <c r="D229" i="8" s="1"/>
  <c r="D267" i="8" a="1"/>
  <c r="D267" i="8" s="1"/>
  <c r="D269" i="8" a="1"/>
  <c r="D269" i="8" s="1"/>
  <c r="D241" i="8" a="1"/>
  <c r="D241" i="8" s="1"/>
  <c r="D233" i="8" a="1"/>
  <c r="D233" i="8" s="1"/>
  <c r="D244" i="8" a="1"/>
  <c r="D244" i="8" s="1"/>
  <c r="D273" i="8" a="1"/>
  <c r="D273" i="8" s="1"/>
  <c r="D264" i="8" a="1"/>
  <c r="D264" i="8" s="1"/>
  <c r="D221" i="8" a="1"/>
  <c r="D221" i="8" s="1"/>
  <c r="D224" i="8" a="1"/>
  <c r="D224" i="8" s="1"/>
  <c r="D227" i="8" a="1"/>
  <c r="D227" i="8" s="1"/>
  <c r="D261" i="8" a="1"/>
  <c r="D261" i="8" s="1"/>
  <c r="D279" i="8" a="1"/>
  <c r="D279" i="8" s="1"/>
  <c r="D275" i="8" a="1"/>
  <c r="D275" i="8" s="1"/>
  <c r="D280" i="8" a="1"/>
  <c r="D280" i="8" s="1"/>
  <c r="D240" i="8" a="1"/>
  <c r="D240" i="8" s="1"/>
  <c r="D246" i="8" a="1"/>
  <c r="D246" i="8" s="1"/>
  <c r="D266" i="8" a="1"/>
  <c r="D266" i="8" s="1"/>
  <c r="D226" i="8" a="1"/>
  <c r="D226" i="8" s="1"/>
  <c r="D252" i="8" a="1"/>
  <c r="D252" i="8" s="1"/>
  <c r="D272" i="8" a="1"/>
  <c r="D272" i="8" s="1"/>
  <c r="D232" i="8" a="1"/>
  <c r="D232" i="8" s="1"/>
  <c r="D251" i="8" a="1"/>
  <c r="D251" i="8" s="1"/>
  <c r="D231" i="8" a="1"/>
  <c r="D231" i="8" s="1"/>
  <c r="D278" i="8" a="1"/>
  <c r="D278" i="8" s="1"/>
  <c r="D271" i="8" a="1"/>
  <c r="D271" i="8" s="1"/>
  <c r="D250" i="8" a="1"/>
  <c r="D250" i="8" s="1"/>
  <c r="D260" i="8" a="1"/>
  <c r="D260" i="8" s="1"/>
  <c r="D230" i="8" a="1"/>
  <c r="D230" i="8" s="1"/>
  <c r="D270" i="8" a="1"/>
  <c r="D270" i="8" s="1"/>
  <c r="D222" i="8" a="1"/>
  <c r="D222" i="8" s="1"/>
  <c r="D276" i="8" a="1"/>
  <c r="D276" i="8" s="1"/>
  <c r="D256" i="8" a="1"/>
  <c r="D256" i="8" s="1"/>
  <c r="D236" i="8" a="1"/>
  <c r="D236" i="8" s="1"/>
  <c r="D242" i="8" a="1"/>
  <c r="D242" i="8" s="1"/>
  <c r="D228" i="8" a="1"/>
  <c r="D228" i="8" s="1"/>
  <c r="D262" i="8" a="1"/>
  <c r="D262" i="8" s="1"/>
  <c r="D268" i="8" a="1"/>
  <c r="D268" i="8" s="1"/>
  <c r="D248" i="8" a="1"/>
  <c r="D248" i="8" s="1"/>
  <c r="D274" i="8" a="1"/>
  <c r="D274" i="8" s="1"/>
  <c r="D234" i="8" a="1"/>
  <c r="D234" i="8" s="1"/>
  <c r="D254" i="8" a="1"/>
  <c r="D254" i="8" s="1"/>
  <c r="D255" i="8" a="1"/>
  <c r="D255" i="8" s="1"/>
  <c r="D259" i="8" a="1"/>
  <c r="D259" i="8" s="1"/>
  <c r="D237" i="8" a="1"/>
  <c r="D237" i="8" s="1"/>
  <c r="D235" i="8" a="1"/>
  <c r="D235" i="8" s="1"/>
  <c r="D258" i="8" a="1"/>
  <c r="D258" i="8" s="1"/>
  <c r="D243" i="8" a="1"/>
  <c r="D243" i="8" s="1"/>
  <c r="D277" i="8" a="1"/>
  <c r="D277" i="8" s="1"/>
  <c r="D239" i="8" a="1"/>
  <c r="D239" i="8" s="1"/>
  <c r="F71" i="9"/>
  <c r="F433" i="9"/>
  <c r="F487" i="9"/>
  <c r="F78" i="9"/>
  <c r="F501" i="9"/>
  <c r="F82" i="9"/>
  <c r="F68" i="9"/>
  <c r="F23" i="9"/>
  <c r="F143" i="9"/>
  <c r="F85" i="9"/>
  <c r="F55" i="9"/>
  <c r="F75" i="9"/>
  <c r="F497" i="9"/>
  <c r="F24" i="9"/>
  <c r="F500" i="9"/>
  <c r="F345" i="9"/>
  <c r="F495" i="9"/>
  <c r="F405" i="9"/>
  <c r="F422" i="9"/>
  <c r="F816" i="9"/>
  <c r="F304" i="9"/>
  <c r="F41" i="9"/>
  <c r="F127" i="9"/>
  <c r="F847" i="9"/>
  <c r="F402" i="9"/>
  <c r="F263" i="9"/>
  <c r="F77" i="9"/>
  <c r="F76" i="9"/>
  <c r="F137" i="9"/>
  <c r="F246" i="9"/>
  <c r="F534" i="9"/>
  <c r="F492" i="9"/>
  <c r="F567" i="9"/>
  <c r="F450" i="9"/>
  <c r="F118" i="9"/>
  <c r="F34" i="9"/>
  <c r="F693" i="9"/>
  <c r="F365" i="9"/>
  <c r="F590" i="9"/>
  <c r="F132" i="9"/>
  <c r="F400" i="9"/>
  <c r="F745" i="9"/>
  <c r="F262" i="9"/>
  <c r="F51" i="9"/>
  <c r="F2" i="9"/>
  <c r="F14" i="9"/>
  <c r="F325" i="9"/>
  <c r="F289" i="9"/>
  <c r="F318" i="9"/>
  <c r="F699" i="9"/>
  <c r="F419" i="9"/>
  <c r="F205" i="9"/>
  <c r="F148" i="9"/>
  <c r="F13" i="9"/>
  <c r="F871" i="9"/>
  <c r="F33" i="9"/>
  <c r="F876" i="9"/>
  <c r="F199" i="9"/>
  <c r="F167" i="9"/>
  <c r="F47" i="9"/>
  <c r="F230" i="9"/>
  <c r="F633" i="9"/>
  <c r="F9" i="9"/>
  <c r="F955" i="9"/>
  <c r="F25" i="9"/>
  <c r="F571" i="9"/>
  <c r="F147" i="9"/>
  <c r="F924" i="9"/>
  <c r="F883" i="9"/>
  <c r="F356" i="9"/>
  <c r="F119" i="9"/>
  <c r="F178" i="9"/>
  <c r="F269" i="9"/>
  <c r="F124" i="9"/>
  <c r="F476" i="9"/>
  <c r="F338" i="9"/>
  <c r="F213" i="9"/>
  <c r="F234" i="9"/>
  <c r="F524" i="9"/>
  <c r="F219" i="9"/>
  <c r="F447" i="9"/>
  <c r="F172" i="9"/>
  <c r="F87" i="9"/>
  <c r="F275" i="9"/>
  <c r="F180" i="9"/>
  <c r="F67" i="9"/>
  <c r="F785" i="9"/>
  <c r="F599" i="9"/>
  <c r="F185" i="9"/>
  <c r="F622" i="9"/>
  <c r="F368" i="9"/>
  <c r="F101" i="9"/>
  <c r="F30" i="9"/>
  <c r="F6" i="9"/>
  <c r="F115" i="9"/>
  <c r="F99" i="9"/>
  <c r="F62" i="9"/>
  <c r="F273" i="9"/>
  <c r="F21" i="9"/>
  <c r="F550" i="9"/>
  <c r="F732" i="9"/>
  <c r="F621" i="9"/>
  <c r="F458" i="9"/>
  <c r="F616" i="9"/>
  <c r="F16" i="9"/>
  <c r="F583" i="9"/>
  <c r="F475" i="9"/>
  <c r="F821" i="9"/>
  <c r="F818" i="9"/>
  <c r="F38" i="9"/>
  <c r="F280" i="9"/>
  <c r="F954" i="9"/>
  <c r="F288" i="9"/>
  <c r="F241" i="9"/>
  <c r="F669" i="9"/>
  <c r="F466" i="9"/>
  <c r="F744" i="9"/>
  <c r="F834" i="9"/>
  <c r="F923" i="9"/>
  <c r="F369" i="9"/>
  <c r="F453" i="9"/>
  <c r="F942" i="9"/>
  <c r="F50" i="9"/>
  <c r="F151" i="9"/>
  <c r="F461" i="9"/>
  <c r="F385" i="9"/>
  <c r="F462" i="9"/>
  <c r="F255" i="9"/>
  <c r="F300" i="9"/>
  <c r="F286" i="9"/>
  <c r="F320" i="9"/>
  <c r="F309" i="9"/>
  <c r="F63" i="9"/>
  <c r="F434" i="9"/>
  <c r="F918" i="9"/>
  <c r="F258" i="9"/>
  <c r="F8" i="9"/>
  <c r="F299" i="9"/>
  <c r="F477" i="9"/>
  <c r="F283" i="9"/>
  <c r="F579" i="9"/>
  <c r="F804" i="9"/>
  <c r="F646" i="9"/>
  <c r="F768" i="9"/>
  <c r="F56" i="9"/>
  <c r="F335" i="9"/>
  <c r="F602" i="9"/>
  <c r="F218" i="9"/>
  <c r="F206" i="9"/>
  <c r="F272" i="9"/>
  <c r="F326" i="9"/>
  <c r="F713" i="9"/>
  <c r="F959" i="9"/>
  <c r="F931" i="9"/>
  <c r="F114" i="9"/>
  <c r="F640" i="9"/>
  <c r="F779" i="9"/>
  <c r="F237" i="9"/>
  <c r="F845" i="9"/>
  <c r="F630" i="9"/>
  <c r="F740" i="9"/>
  <c r="F364" i="9"/>
  <c r="F480" i="9"/>
  <c r="F628" i="9"/>
  <c r="F548" i="9"/>
  <c r="F337" i="9"/>
  <c r="F363" i="9"/>
  <c r="F198" i="9"/>
  <c r="F572" i="9"/>
  <c r="F48" i="9"/>
  <c r="F953" i="9"/>
  <c r="F267" i="9"/>
  <c r="F372" i="9"/>
  <c r="F311" i="9"/>
  <c r="F444" i="9"/>
  <c r="F448" i="9"/>
  <c r="F96" i="9"/>
  <c r="F680" i="9"/>
  <c r="F910" i="9"/>
  <c r="F52" i="9"/>
  <c r="F221" i="9"/>
  <c r="F594" i="9"/>
  <c r="F817" i="9"/>
  <c r="F373" i="9"/>
  <c r="F690" i="9"/>
  <c r="F252" i="9"/>
  <c r="F189" i="9"/>
  <c r="F559" i="9"/>
  <c r="F533" i="9"/>
  <c r="F521" i="9"/>
  <c r="F619" i="9"/>
  <c r="F383" i="9"/>
  <c r="F166" i="9"/>
  <c r="F418" i="9"/>
  <c r="F711" i="9"/>
  <c r="F432" i="9"/>
  <c r="F378" i="9"/>
  <c r="F857" i="9"/>
  <c r="F823" i="9"/>
  <c r="F757" i="9"/>
  <c r="F829" i="9"/>
  <c r="F361" i="9"/>
  <c r="F133" i="9"/>
  <c r="F313" i="9"/>
  <c r="F659" i="9"/>
  <c r="F675" i="9"/>
  <c r="F331" i="9"/>
  <c r="F742" i="9"/>
  <c r="F846" i="9"/>
  <c r="F254" i="9"/>
  <c r="F102" i="9"/>
  <c r="F106" i="9"/>
  <c r="F125" i="9"/>
  <c r="F848" i="9"/>
  <c r="F349" i="9"/>
  <c r="F277" i="9"/>
  <c r="F474" i="9"/>
  <c r="F446" i="9"/>
  <c r="F694" i="9"/>
  <c r="F754" i="9"/>
  <c r="F654" i="9"/>
  <c r="F839" i="9"/>
  <c r="F297" i="9"/>
  <c r="F15" i="9"/>
  <c r="F631" i="9"/>
  <c r="F644" i="9"/>
  <c r="F591" i="9"/>
  <c r="F805" i="9"/>
  <c r="F911" i="9"/>
  <c r="F409" i="9"/>
  <c r="F355" i="9"/>
  <c r="F225" i="9"/>
  <c r="F404" i="9"/>
  <c r="F858" i="9"/>
  <c r="F362" i="9"/>
  <c r="F112" i="9"/>
  <c r="F445" i="9"/>
  <c r="F510" i="9"/>
  <c r="F526" i="9"/>
  <c r="F930" i="9"/>
  <c r="F869" i="9"/>
  <c r="F340" i="9"/>
  <c r="F427" i="9"/>
  <c r="F22" i="9"/>
  <c r="F411" i="9"/>
  <c r="F632" i="9"/>
  <c r="F134" i="9"/>
  <c r="F859" i="9"/>
  <c r="F648" i="9"/>
  <c r="F822" i="9"/>
  <c r="F152" i="9"/>
  <c r="F131" i="9"/>
  <c r="F53" i="9"/>
  <c r="F111" i="9"/>
  <c r="F729" i="9"/>
  <c r="F343" i="9"/>
  <c r="F110" i="9"/>
  <c r="F797" i="9"/>
  <c r="F360" i="9"/>
  <c r="F720" i="9"/>
  <c r="F522" i="9"/>
  <c r="F346" i="9"/>
  <c r="F26" i="9"/>
  <c r="F430" i="9"/>
  <c r="F634" i="9"/>
  <c r="F752" i="9"/>
  <c r="F945" i="9"/>
  <c r="F833" i="9"/>
  <c r="F767" i="9"/>
  <c r="F718" i="9"/>
  <c r="F229" i="9"/>
  <c r="F864" i="9"/>
  <c r="F471" i="9"/>
  <c r="F728" i="9"/>
  <c r="F934" i="9"/>
  <c r="F645" i="9"/>
  <c r="F393" i="9"/>
  <c r="F171" i="9"/>
  <c r="F158" i="9"/>
  <c r="F760" i="9"/>
  <c r="F256" i="9"/>
  <c r="F249" i="9"/>
  <c r="F643" i="9"/>
  <c r="F627" i="9"/>
  <c r="F231" i="9"/>
  <c r="F835" i="9"/>
  <c r="F398" i="9"/>
  <c r="F98" i="9"/>
  <c r="F12" i="9"/>
  <c r="F545" i="9"/>
  <c r="F781" i="9"/>
  <c r="F209" i="9"/>
  <c r="F855" i="9"/>
  <c r="F95" i="9"/>
  <c r="F120" i="9"/>
  <c r="F687" i="9"/>
  <c r="F454" i="9"/>
  <c r="F881" i="9"/>
  <c r="F819" i="9"/>
  <c r="F837" i="9"/>
  <c r="F307" i="9"/>
  <c r="F776" i="9"/>
  <c r="F141" i="9"/>
  <c r="F841" i="9"/>
  <c r="F593" i="9"/>
  <c r="F764" i="9"/>
  <c r="F354" i="9"/>
  <c r="F46" i="9"/>
  <c r="F126" i="9"/>
  <c r="F319" i="9"/>
  <c r="F423" i="9"/>
  <c r="F615" i="9"/>
  <c r="F328" i="9"/>
  <c r="F907" i="9"/>
  <c r="F64" i="9"/>
  <c r="F108" i="9"/>
  <c r="F187" i="9"/>
  <c r="F285" i="9"/>
  <c r="F105" i="9"/>
  <c r="F66" i="9"/>
  <c r="F787" i="9"/>
  <c r="F460" i="9"/>
  <c r="F766" i="9"/>
  <c r="F671" i="9"/>
  <c r="F948" i="9"/>
  <c r="F828" i="9"/>
  <c r="F901" i="9"/>
  <c r="F327" i="9"/>
  <c r="F86" i="9"/>
  <c r="F39" i="9"/>
  <c r="F117" i="9"/>
  <c r="F789" i="9"/>
  <c r="F157" i="9"/>
  <c r="F840" i="9"/>
  <c r="F956" i="9"/>
  <c r="F207" i="9"/>
  <c r="F413" i="9"/>
  <c r="F291" i="9"/>
  <c r="F264" i="9"/>
  <c r="F305" i="9"/>
  <c r="F226" i="9"/>
  <c r="F426" i="9"/>
  <c r="F440" i="9"/>
  <c r="F435" i="9"/>
  <c r="F580" i="9"/>
  <c r="F543" i="9"/>
  <c r="F569" i="9"/>
  <c r="F941" i="9"/>
  <c r="F925" i="9"/>
  <c r="F315" i="9"/>
  <c r="F387" i="9"/>
  <c r="F233" i="9"/>
  <c r="F570" i="9"/>
  <c r="F568" i="9"/>
  <c r="F758" i="9"/>
  <c r="F214" i="9"/>
  <c r="F193" i="9"/>
  <c r="F181" i="9"/>
  <c r="F92" i="9"/>
  <c r="F351" i="9"/>
  <c r="F376" i="9"/>
  <c r="F399" i="9"/>
  <c r="F295" i="9"/>
  <c r="F719" i="9"/>
  <c r="F666" i="9"/>
  <c r="F947" i="9"/>
  <c r="F358" i="9"/>
  <c r="F670" i="9"/>
  <c r="F885" i="9"/>
  <c r="F397" i="9"/>
  <c r="F271" i="9"/>
  <c r="F265" i="9"/>
  <c r="F306" i="9"/>
  <c r="F279" i="9"/>
  <c r="F403" i="9"/>
  <c r="F556" i="9"/>
  <c r="F682" i="9"/>
  <c r="F692" i="9"/>
  <c r="F731" i="9"/>
  <c r="F913" i="9"/>
  <c r="F316" i="9"/>
  <c r="F417" i="9"/>
  <c r="F886" i="9"/>
  <c r="F827" i="9"/>
  <c r="F906" i="9"/>
  <c r="F200" i="9"/>
  <c r="F917" i="9"/>
  <c r="F350" i="9"/>
  <c r="F301" i="9"/>
  <c r="F777" i="9"/>
  <c r="F260" i="9"/>
  <c r="F888" i="9"/>
  <c r="F838" i="9"/>
  <c r="F452" i="9"/>
  <c r="F803" i="9"/>
  <c r="F407" i="9"/>
  <c r="F905" i="9"/>
  <c r="F884" i="9"/>
  <c r="F620" i="9"/>
  <c r="F251" i="9"/>
  <c r="F802" i="9"/>
  <c r="F352" i="9"/>
  <c r="F717" i="9"/>
  <c r="F957" i="9"/>
  <c r="F899" i="9"/>
  <c r="F239" i="9"/>
  <c r="F813" i="9"/>
  <c r="F348" i="9"/>
  <c r="F824" i="9"/>
  <c r="F960" i="9"/>
  <c r="F861" i="9"/>
  <c r="F290" i="9"/>
  <c r="F392" i="9"/>
  <c r="F257" i="9"/>
  <c r="F408" i="9"/>
  <c r="F420" i="9"/>
  <c r="F503" i="9"/>
  <c r="F547" i="9"/>
  <c r="F535" i="9"/>
  <c r="F712" i="9"/>
  <c r="F196" i="9"/>
  <c r="F831" i="9"/>
  <c r="F672" i="9"/>
  <c r="F753" i="9"/>
  <c r="F889" i="9"/>
  <c r="F882" i="9"/>
  <c r="F936" i="9"/>
  <c r="F773" i="9"/>
  <c r="F379" i="9"/>
  <c r="F330" i="9"/>
  <c r="F282" i="9"/>
  <c r="F384" i="9"/>
  <c r="F334" i="9"/>
  <c r="F274" i="9"/>
  <c r="F412" i="9"/>
  <c r="F472" i="9"/>
  <c r="F421" i="9"/>
  <c r="F605" i="9"/>
  <c r="F695" i="9"/>
  <c r="F865" i="9"/>
  <c r="F370" i="9"/>
  <c r="F436" i="9"/>
  <c r="F765" i="9"/>
  <c r="F778" i="9"/>
  <c r="F815" i="9"/>
  <c r="F893" i="9"/>
  <c r="F873" i="9"/>
  <c r="F912" i="9"/>
  <c r="F366" i="9"/>
  <c r="F333" i="9"/>
  <c r="F367" i="9"/>
  <c r="F449" i="9"/>
  <c r="F516" i="9"/>
  <c r="F707" i="9"/>
  <c r="F336" i="9"/>
  <c r="F321" i="9"/>
  <c r="F266" i="9"/>
  <c r="F463" i="9"/>
  <c r="F658" i="9"/>
  <c r="F932" i="9"/>
  <c r="F136" i="9"/>
  <c r="F668" i="9"/>
  <c r="F860" i="9"/>
  <c r="F799" i="9"/>
  <c r="F812" i="9"/>
  <c r="F173" i="9"/>
  <c r="F208" i="9"/>
  <c r="F850" i="9"/>
  <c r="F900" i="9"/>
  <c r="F511" i="9"/>
  <c r="F656" i="9"/>
  <c r="F894" i="9"/>
  <c r="F852" i="9"/>
  <c r="F877" i="9"/>
  <c r="F322" i="9"/>
  <c r="F324" i="9"/>
  <c r="F107" i="9"/>
  <c r="F801" i="9"/>
  <c r="F202" i="9"/>
  <c r="F849" i="9"/>
  <c r="F908" i="9"/>
  <c r="F944" i="9"/>
  <c r="F800" i="9"/>
  <c r="D207" i="8" a="1"/>
  <c r="D207" i="8" s="1"/>
  <c r="F207" i="8" s="1"/>
  <c r="D215" i="8" a="1"/>
  <c r="D215" i="8" s="1"/>
  <c r="D218" i="8" a="1"/>
  <c r="D218" i="8" s="1"/>
  <c r="D202" i="8" a="1"/>
  <c r="D202" i="8" s="1"/>
  <c r="D214" i="8" a="1"/>
  <c r="D214" i="8" s="1"/>
  <c r="D203" i="8" a="1"/>
  <c r="D203" i="8" s="1"/>
  <c r="D197" i="8" a="1"/>
  <c r="D197" i="8" s="1"/>
  <c r="D209" i="8" a="1"/>
  <c r="D209" i="8" s="1"/>
  <c r="D200" i="8" a="1"/>
  <c r="D200" i="8" s="1"/>
  <c r="D204" i="8" a="1"/>
  <c r="D204" i="8" s="1"/>
  <c r="D216" i="8" a="1"/>
  <c r="D216" i="8" s="1"/>
  <c r="D198" i="8" a="1"/>
  <c r="D198" i="8" s="1"/>
  <c r="D210" i="8" a="1"/>
  <c r="D210" i="8" s="1"/>
  <c r="D212" i="8" a="1"/>
  <c r="D212" i="8" s="1"/>
  <c r="D199" i="8" a="1"/>
  <c r="D199" i="8" s="1"/>
  <c r="D211" i="8" a="1"/>
  <c r="D211" i="8" s="1"/>
  <c r="D206" i="8" a="1"/>
  <c r="D206" i="8" s="1"/>
  <c r="D201" i="8" a="1"/>
  <c r="D201" i="8" s="1"/>
  <c r="D213" i="8" a="1"/>
  <c r="D213" i="8" s="1"/>
  <c r="D205" i="8" a="1"/>
  <c r="D205" i="8" s="1"/>
  <c r="D217" i="8" a="1"/>
  <c r="D217" i="8" s="1"/>
  <c r="D208" i="8" a="1"/>
  <c r="D208" i="8" s="1"/>
  <c r="D219" i="8" a="1"/>
  <c r="D219" i="8" s="1"/>
  <c r="D220" i="8" a="1"/>
  <c r="D220" i="8" s="1"/>
  <c r="D196" i="8" a="1"/>
  <c r="D196" i="8" s="1"/>
  <c r="D189" i="8" a="1"/>
  <c r="D189" i="8" s="1"/>
  <c r="E189" i="8" s="1"/>
  <c r="D184" i="8" a="1"/>
  <c r="D184" i="8" s="1"/>
  <c r="D178" i="8" a="1"/>
  <c r="D178" i="8" s="1"/>
  <c r="D190" i="8" a="1"/>
  <c r="D190" i="8" s="1"/>
  <c r="D172" i="8" a="1"/>
  <c r="D172" i="8" s="1"/>
  <c r="D185" i="8" a="1"/>
  <c r="D185" i="8" s="1"/>
  <c r="D173" i="8" a="1"/>
  <c r="D173" i="8" s="1"/>
  <c r="D179" i="8" a="1"/>
  <c r="D179" i="8" s="1"/>
  <c r="D191" i="8" a="1"/>
  <c r="D191" i="8" s="1"/>
  <c r="D180" i="8" a="1"/>
  <c r="D180" i="8" s="1"/>
  <c r="D192" i="8" a="1"/>
  <c r="D192" i="8" s="1"/>
  <c r="D174" i="8" a="1"/>
  <c r="D174" i="8" s="1"/>
  <c r="D186" i="8" a="1"/>
  <c r="D186" i="8" s="1"/>
  <c r="D181" i="8" a="1"/>
  <c r="D181" i="8" s="1"/>
  <c r="D187" i="8" a="1"/>
  <c r="D187" i="8" s="1"/>
  <c r="D175" i="8" a="1"/>
  <c r="D175" i="8" s="1"/>
  <c r="D193" i="8" a="1"/>
  <c r="D193" i="8" s="1"/>
  <c r="D182" i="8" a="1"/>
  <c r="D182" i="8" s="1"/>
  <c r="D194" i="8" a="1"/>
  <c r="D194" i="8" s="1"/>
  <c r="D176" i="8" a="1"/>
  <c r="D176" i="8" s="1"/>
  <c r="D188" i="8" a="1"/>
  <c r="D188" i="8" s="1"/>
  <c r="D177" i="8" a="1"/>
  <c r="D177" i="8" s="1"/>
  <c r="D183" i="8" a="1"/>
  <c r="D183" i="8" s="1"/>
  <c r="D195" i="8" a="1"/>
  <c r="D195" i="8" s="1"/>
  <c r="D171" i="8" a="1"/>
  <c r="D171" i="8" s="1"/>
  <c r="F552" i="9"/>
  <c r="F538" i="9"/>
  <c r="F539" i="9"/>
  <c r="F551" i="9"/>
  <c r="F553" i="9"/>
  <c r="F542" i="9"/>
  <c r="F540" i="9"/>
  <c r="F554" i="9"/>
  <c r="F555" i="9"/>
  <c r="D168" i="8" a="1"/>
  <c r="D168" i="8" s="1"/>
  <c r="F168" i="8" s="1"/>
  <c r="D169" i="8" a="1"/>
  <c r="D169" i="8" s="1"/>
  <c r="D170" i="8" a="1"/>
  <c r="D170" i="8" s="1"/>
  <c r="D157" i="8" a="1"/>
  <c r="D157" i="8" s="1"/>
  <c r="F157" i="8" s="1"/>
  <c r="D156" i="8" a="1"/>
  <c r="D156" i="8" s="1"/>
  <c r="D148" i="8" a="1"/>
  <c r="D148" i="8" s="1"/>
  <c r="D166" i="8" a="1"/>
  <c r="D166" i="8" s="1"/>
  <c r="D155" i="8" a="1"/>
  <c r="D155" i="8" s="1"/>
  <c r="D167" i="8" a="1"/>
  <c r="D167" i="8" s="1"/>
  <c r="D149" i="8" a="1"/>
  <c r="D149" i="8" s="1"/>
  <c r="D161" i="8" a="1"/>
  <c r="D161" i="8" s="1"/>
  <c r="D162" i="8" a="1"/>
  <c r="D162" i="8" s="1"/>
  <c r="D165" i="8" a="1"/>
  <c r="D165" i="8" s="1"/>
  <c r="D150" i="8" a="1"/>
  <c r="D150" i="8" s="1"/>
  <c r="D163" i="8" a="1"/>
  <c r="D163" i="8" s="1"/>
  <c r="D151" i="8" a="1"/>
  <c r="D151" i="8" s="1"/>
  <c r="D158" i="8" a="1"/>
  <c r="D158" i="8" s="1"/>
  <c r="D159" i="8" a="1"/>
  <c r="D159" i="8" s="1"/>
  <c r="D152" i="8" a="1"/>
  <c r="D152" i="8" s="1"/>
  <c r="D164" i="8" a="1"/>
  <c r="D164" i="8" s="1"/>
  <c r="D153" i="8" a="1"/>
  <c r="D153" i="8" s="1"/>
  <c r="D147" i="8" a="1"/>
  <c r="D147" i="8" s="1"/>
  <c r="D154" i="8" a="1"/>
  <c r="D154" i="8" s="1"/>
  <c r="D160" i="8" a="1"/>
  <c r="D160" i="8" s="1"/>
  <c r="D146" i="8" a="1"/>
  <c r="D146" i="8" s="1"/>
  <c r="D140" i="8" a="1"/>
  <c r="D140" i="8" s="1"/>
  <c r="F140" i="8" s="1"/>
  <c r="D145" i="8" a="1"/>
  <c r="D145" i="8" s="1"/>
  <c r="D133" i="8" a="1"/>
  <c r="D133" i="8" s="1"/>
  <c r="D143" i="8" a="1"/>
  <c r="D143" i="8" s="1"/>
  <c r="D134" i="8" a="1"/>
  <c r="D134" i="8" s="1"/>
  <c r="D137" i="8" a="1"/>
  <c r="D137" i="8" s="1"/>
  <c r="D135" i="8" a="1"/>
  <c r="D135" i="8" s="1"/>
  <c r="D142" i="8" a="1"/>
  <c r="D142" i="8" s="1"/>
  <c r="D136" i="8" a="1"/>
  <c r="D136" i="8" s="1"/>
  <c r="D138" i="8" a="1"/>
  <c r="D138" i="8" s="1"/>
  <c r="D139" i="8" a="1"/>
  <c r="D139" i="8" s="1"/>
  <c r="D144" i="8" a="1"/>
  <c r="D144" i="8" s="1"/>
  <c r="D141" i="8" a="1"/>
  <c r="D141" i="8" s="1"/>
  <c r="D129" i="8" a="1"/>
  <c r="D129" i="8" s="1"/>
  <c r="D130" i="8" a="1"/>
  <c r="D130" i="8" s="1"/>
  <c r="D131" i="8" a="1"/>
  <c r="D131" i="8" s="1"/>
  <c r="D132" i="8" a="1"/>
  <c r="D132" i="8" s="1"/>
  <c r="D128" i="8" a="1"/>
  <c r="D128" i="8" s="1"/>
  <c r="D54" i="8" a="1"/>
  <c r="D54" i="8" s="1"/>
  <c r="F54" i="8" s="1"/>
  <c r="D93" i="8" a="1"/>
  <c r="D93" i="8" s="1"/>
  <c r="F93" i="8" s="1"/>
  <c r="D65" i="8" a="1"/>
  <c r="D65" i="8" s="1"/>
  <c r="F65" i="8" s="1"/>
  <c r="D5" i="8" a="1"/>
  <c r="D5" i="8" s="1"/>
  <c r="E5" i="8" s="1"/>
  <c r="D42" i="8" a="1"/>
  <c r="D42" i="8" s="1"/>
  <c r="E42" i="8" s="1"/>
  <c r="D125" i="8" a="1"/>
  <c r="D125" i="8" s="1"/>
  <c r="F125" i="8" s="1"/>
  <c r="D113" i="8" a="1"/>
  <c r="D113" i="8" s="1"/>
  <c r="F113" i="8" s="1"/>
  <c r="D101" i="8" a="1"/>
  <c r="D101" i="8" s="1"/>
  <c r="E101" i="8" s="1"/>
  <c r="D89" i="8" a="1"/>
  <c r="D89" i="8" s="1"/>
  <c r="E89" i="8" s="1"/>
  <c r="D124" i="8" a="1"/>
  <c r="D124" i="8" s="1"/>
  <c r="F124" i="8" s="1"/>
  <c r="D111" i="8" a="1"/>
  <c r="D111" i="8" s="1"/>
  <c r="E111" i="8" s="1"/>
  <c r="D103" i="8" a="1"/>
  <c r="D103" i="8" s="1"/>
  <c r="E103" i="8" s="1"/>
  <c r="D90" i="8" a="1"/>
  <c r="D90" i="8" s="1"/>
  <c r="E90" i="8" s="1"/>
  <c r="D80" i="8" a="1"/>
  <c r="D80" i="8" s="1"/>
  <c r="E80" i="8" s="1"/>
  <c r="D68" i="8" a="1"/>
  <c r="D68" i="8" s="1"/>
  <c r="E68" i="8" s="1"/>
  <c r="D56" i="8" a="1"/>
  <c r="D56" i="8" s="1"/>
  <c r="E56" i="8" s="1"/>
  <c r="D44" i="8" a="1"/>
  <c r="D44" i="8" s="1"/>
  <c r="F44" i="8" s="1"/>
  <c r="D32" i="8" a="1"/>
  <c r="D32" i="8" s="1"/>
  <c r="E32" i="8" s="1"/>
  <c r="D20" i="8" a="1"/>
  <c r="D20" i="8" s="1"/>
  <c r="F20" i="8" s="1"/>
  <c r="D14" i="8" a="1"/>
  <c r="D14" i="8" s="1"/>
  <c r="F14" i="8" s="1"/>
  <c r="D2" i="8" a="1"/>
  <c r="D2" i="8" s="1"/>
  <c r="E2" i="8" s="1"/>
  <c r="D116" i="8" a="1"/>
  <c r="D116" i="8" s="1"/>
  <c r="F116" i="8" s="1"/>
  <c r="D108" i="8" a="1"/>
  <c r="D108" i="8" s="1"/>
  <c r="F108" i="8" s="1"/>
  <c r="D95" i="8" a="1"/>
  <c r="D95" i="8" s="1"/>
  <c r="E95" i="8" s="1"/>
  <c r="D75" i="8" a="1"/>
  <c r="D75" i="8" s="1"/>
  <c r="E75" i="8" s="1"/>
  <c r="D63" i="8" a="1"/>
  <c r="D63" i="8" s="1"/>
  <c r="D51" i="8" a="1"/>
  <c r="D51" i="8" s="1"/>
  <c r="D39" i="8" a="1"/>
  <c r="D39" i="8" s="1"/>
  <c r="D27" i="8" a="1"/>
  <c r="D27" i="8" s="1"/>
  <c r="D9" i="8" a="1"/>
  <c r="D9" i="8" s="1"/>
  <c r="D126" i="8" a="1"/>
  <c r="D126" i="8" s="1"/>
  <c r="F126" i="8" s="1"/>
  <c r="D92" i="8" a="1"/>
  <c r="D92" i="8" s="1"/>
  <c r="F92" i="8" s="1"/>
  <c r="D121" i="8" a="1"/>
  <c r="D121" i="8" s="1"/>
  <c r="E121" i="8" s="1"/>
  <c r="D100" i="8" a="1"/>
  <c r="D100" i="8" s="1"/>
  <c r="F100" i="8" s="1"/>
  <c r="D87" i="8" a="1"/>
  <c r="D87" i="8" s="1"/>
  <c r="E87" i="8" s="1"/>
  <c r="D82" i="8" a="1"/>
  <c r="D82" i="8" s="1"/>
  <c r="F82" i="8" s="1"/>
  <c r="D70" i="8" a="1"/>
  <c r="D70" i="8" s="1"/>
  <c r="F70" i="8" s="1"/>
  <c r="D58" i="8" a="1"/>
  <c r="D58" i="8" s="1"/>
  <c r="F58" i="8" s="1"/>
  <c r="D46" i="8" a="1"/>
  <c r="D46" i="8" s="1"/>
  <c r="F46" i="8" s="1"/>
  <c r="D34" i="8" a="1"/>
  <c r="D34" i="8" s="1"/>
  <c r="E34" i="8" s="1"/>
  <c r="D22" i="8" a="1"/>
  <c r="D22" i="8" s="1"/>
  <c r="F22" i="8" s="1"/>
  <c r="D16" i="8" a="1"/>
  <c r="D16" i="8" s="1"/>
  <c r="F16" i="8" s="1"/>
  <c r="D4" i="8" a="1"/>
  <c r="D4" i="8" s="1"/>
  <c r="E4" i="8" s="1"/>
  <c r="D105" i="8" a="1"/>
  <c r="D105" i="8" s="1"/>
  <c r="E105" i="8" s="1"/>
  <c r="D118" i="8" a="1"/>
  <c r="D118" i="8" s="1"/>
  <c r="F118" i="8" s="1"/>
  <c r="D110" i="8" a="1"/>
  <c r="D110" i="8" s="1"/>
  <c r="F110" i="8" s="1"/>
  <c r="D97" i="8" a="1"/>
  <c r="D97" i="8" s="1"/>
  <c r="F97" i="8" s="1"/>
  <c r="D84" i="8" a="1"/>
  <c r="D84" i="8" s="1"/>
  <c r="F84" i="8" s="1"/>
  <c r="D72" i="8" a="1"/>
  <c r="D72" i="8" s="1"/>
  <c r="F72" i="8" s="1"/>
  <c r="D60" i="8" a="1"/>
  <c r="D60" i="8" s="1"/>
  <c r="F60" i="8" s="1"/>
  <c r="D48" i="8" a="1"/>
  <c r="D48" i="8" s="1"/>
  <c r="E48" i="8" s="1"/>
  <c r="D36" i="8" a="1"/>
  <c r="D36" i="8" s="1"/>
  <c r="E36" i="8" s="1"/>
  <c r="D24" i="8" a="1"/>
  <c r="D24" i="8" s="1"/>
  <c r="F24" i="8" s="1"/>
  <c r="D18" i="8" a="1"/>
  <c r="D18" i="8" s="1"/>
  <c r="F18" i="8" s="1"/>
  <c r="D6" i="8" a="1"/>
  <c r="D6" i="8" s="1"/>
  <c r="F6" i="8" s="1"/>
  <c r="D123" i="8" a="1"/>
  <c r="D123" i="8" s="1"/>
  <c r="F123" i="8" s="1"/>
  <c r="D115" i="8" a="1"/>
  <c r="D115" i="8" s="1"/>
  <c r="F115" i="8" s="1"/>
  <c r="D102" i="8" a="1"/>
  <c r="D102" i="8" s="1"/>
  <c r="E102" i="8" s="1"/>
  <c r="D79" i="8" a="1"/>
  <c r="D79" i="8" s="1"/>
  <c r="F79" i="8" s="1"/>
  <c r="D67" i="8" a="1"/>
  <c r="D67" i="8" s="1"/>
  <c r="F67" i="8" s="1"/>
  <c r="D55" i="8" a="1"/>
  <c r="D55" i="8" s="1"/>
  <c r="F55" i="8" s="1"/>
  <c r="D43" i="8" a="1"/>
  <c r="D43" i="8" s="1"/>
  <c r="E43" i="8" s="1"/>
  <c r="D31" i="8" a="1"/>
  <c r="D31" i="8" s="1"/>
  <c r="F31" i="8" s="1"/>
  <c r="D13" i="8" a="1"/>
  <c r="D13" i="8" s="1"/>
  <c r="E13" i="8" s="1"/>
  <c r="D120" i="8" a="1"/>
  <c r="D120" i="8" s="1"/>
  <c r="F120" i="8" s="1"/>
  <c r="D107" i="8" a="1"/>
  <c r="D107" i="8" s="1"/>
  <c r="F107" i="8" s="1"/>
  <c r="D94" i="8" a="1"/>
  <c r="D94" i="8" s="1"/>
  <c r="F94" i="8" s="1"/>
  <c r="D86" i="8" a="1"/>
  <c r="D86" i="8" s="1"/>
  <c r="F86" i="8" s="1"/>
  <c r="D74" i="8" a="1"/>
  <c r="D74" i="8" s="1"/>
  <c r="E74" i="8" s="1"/>
  <c r="D62" i="8" a="1"/>
  <c r="D62" i="8" s="1"/>
  <c r="F62" i="8" s="1"/>
  <c r="D50" i="8" a="1"/>
  <c r="D50" i="8" s="1"/>
  <c r="F50" i="8" s="1"/>
  <c r="D38" i="8" a="1"/>
  <c r="D38" i="8" s="1"/>
  <c r="F38" i="8" s="1"/>
  <c r="D26" i="8" a="1"/>
  <c r="D26" i="8" s="1"/>
  <c r="E26" i="8" s="1"/>
  <c r="D8" i="8" a="1"/>
  <c r="D8" i="8" s="1"/>
  <c r="F8" i="8" s="1"/>
  <c r="D112" i="8" a="1"/>
  <c r="D112" i="8" s="1"/>
  <c r="D99" i="8" a="1"/>
  <c r="D99" i="8" s="1"/>
  <c r="E99" i="8" s="1"/>
  <c r="D91" i="8" a="1"/>
  <c r="D91" i="8" s="1"/>
  <c r="F91" i="8" s="1"/>
  <c r="D81" i="8" a="1"/>
  <c r="D81" i="8" s="1"/>
  <c r="F81" i="8" s="1"/>
  <c r="D69" i="8" a="1"/>
  <c r="D69" i="8" s="1"/>
  <c r="F69" i="8" s="1"/>
  <c r="D57" i="8" a="1"/>
  <c r="D57" i="8" s="1"/>
  <c r="D45" i="8" a="1"/>
  <c r="D45" i="8" s="1"/>
  <c r="D33" i="8" a="1"/>
  <c r="D33" i="8" s="1"/>
  <c r="D21" i="8" a="1"/>
  <c r="D21" i="8" s="1"/>
  <c r="D15" i="8" a="1"/>
  <c r="D15" i="8" s="1"/>
  <c r="D3" i="8" a="1"/>
  <c r="D3" i="8" s="1"/>
  <c r="D117" i="8" a="1"/>
  <c r="D117" i="8" s="1"/>
  <c r="E117" i="8" s="1"/>
  <c r="D104" i="8" a="1"/>
  <c r="D104" i="8" s="1"/>
  <c r="F104" i="8" s="1"/>
  <c r="D96" i="8" a="1"/>
  <c r="D96" i="8" s="1"/>
  <c r="F96" i="8" s="1"/>
  <c r="D76" i="8" a="1"/>
  <c r="D76" i="8" s="1"/>
  <c r="F76" i="8" s="1"/>
  <c r="D64" i="8" a="1"/>
  <c r="D64" i="8" s="1"/>
  <c r="D52" i="8" a="1"/>
  <c r="D52" i="8" s="1"/>
  <c r="D40" i="8" a="1"/>
  <c r="D40" i="8" s="1"/>
  <c r="D28" i="8" a="1"/>
  <c r="D28" i="8" s="1"/>
  <c r="D10" i="8" a="1"/>
  <c r="D10" i="8" s="1"/>
  <c r="D119" i="8" a="1"/>
  <c r="D119" i="8" s="1"/>
  <c r="F119" i="8" s="1"/>
  <c r="D106" i="8" a="1"/>
  <c r="D106" i="8" s="1"/>
  <c r="F106" i="8" s="1"/>
  <c r="D98" i="8" a="1"/>
  <c r="D98" i="8" s="1"/>
  <c r="E98" i="8" s="1"/>
  <c r="D85" i="8" a="1"/>
  <c r="D85" i="8" s="1"/>
  <c r="F85" i="8" s="1"/>
  <c r="D73" i="8" a="1"/>
  <c r="D73" i="8" s="1"/>
  <c r="E73" i="8" s="1"/>
  <c r="D61" i="8" a="1"/>
  <c r="D61" i="8" s="1"/>
  <c r="F61" i="8" s="1"/>
  <c r="D49" i="8" a="1"/>
  <c r="D49" i="8" s="1"/>
  <c r="F49" i="8" s="1"/>
  <c r="D37" i="8" a="1"/>
  <c r="D37" i="8" s="1"/>
  <c r="F37" i="8" s="1"/>
  <c r="D25" i="8" a="1"/>
  <c r="D25" i="8" s="1"/>
  <c r="F25" i="8" s="1"/>
  <c r="D19" i="8" a="1"/>
  <c r="D19" i="8" s="1"/>
  <c r="F19" i="8" s="1"/>
  <c r="D7" i="8" a="1"/>
  <c r="D7" i="8" s="1"/>
  <c r="F7" i="8" s="1"/>
  <c r="D59" i="8" a="1"/>
  <c r="D59" i="8" s="1"/>
  <c r="E59" i="8" s="1"/>
  <c r="D88" i="8" a="1"/>
  <c r="D88" i="8" s="1"/>
  <c r="E88" i="8" s="1"/>
  <c r="D41" i="8" a="1"/>
  <c r="D41" i="8" s="1"/>
  <c r="F41" i="8" s="1"/>
  <c r="D29" i="8" a="1"/>
  <c r="D29" i="8" s="1"/>
  <c r="E29" i="8" s="1"/>
  <c r="D30" i="8" a="1"/>
  <c r="D30" i="8" s="1"/>
  <c r="F30" i="8" s="1"/>
  <c r="D11" i="8" a="1"/>
  <c r="D11" i="8" s="1"/>
  <c r="E11" i="8" s="1"/>
  <c r="D83" i="8" a="1"/>
  <c r="D83" i="8" s="1"/>
  <c r="E83" i="8" s="1"/>
  <c r="D53" i="8" a="1"/>
  <c r="D53" i="8" s="1"/>
  <c r="F53" i="8" s="1"/>
  <c r="D66" i="8" a="1"/>
  <c r="D66" i="8" s="1"/>
  <c r="F66" i="8" s="1"/>
  <c r="D109" i="8" a="1"/>
  <c r="D109" i="8" s="1"/>
  <c r="E109" i="8" s="1"/>
  <c r="D71" i="8" a="1"/>
  <c r="D71" i="8" s="1"/>
  <c r="F71" i="8" s="1"/>
  <c r="D122" i="8" a="1"/>
  <c r="D122" i="8" s="1"/>
  <c r="E122" i="8" s="1"/>
  <c r="D12" i="8" a="1"/>
  <c r="D12" i="8" s="1"/>
  <c r="F12" i="8" s="1"/>
  <c r="D47" i="8" a="1"/>
  <c r="D47" i="8" s="1"/>
  <c r="F47" i="8" s="1"/>
  <c r="D127" i="8" a="1"/>
  <c r="D127" i="8" s="1"/>
  <c r="F127" i="8" s="1"/>
  <c r="D35" i="8" a="1"/>
  <c r="D35" i="8" s="1"/>
  <c r="E35" i="8" s="1"/>
  <c r="D78" i="8" a="1"/>
  <c r="D78" i="8" s="1"/>
  <c r="F78" i="8" s="1"/>
  <c r="D114" i="8" a="1"/>
  <c r="D114" i="8" s="1"/>
  <c r="F114" i="8" s="1"/>
  <c r="D23" i="8" a="1"/>
  <c r="D23" i="8" s="1"/>
  <c r="F23" i="8" s="1"/>
  <c r="D77" i="8" a="1"/>
  <c r="D77" i="8" s="1"/>
  <c r="F77" i="8" s="1"/>
  <c r="D17" i="8" a="1"/>
  <c r="D17" i="8" s="1"/>
  <c r="F17" i="8" s="1"/>
  <c r="F310" i="8" l="1"/>
  <c r="E310" i="8"/>
  <c r="E309" i="8"/>
  <c r="F309" i="8"/>
  <c r="F308" i="8"/>
  <c r="E308" i="8"/>
  <c r="F307" i="8"/>
  <c r="E307" i="8"/>
  <c r="F306" i="8"/>
  <c r="E306" i="8"/>
  <c r="F305" i="8"/>
  <c r="E305" i="8"/>
  <c r="F304" i="8"/>
  <c r="E304" i="8"/>
  <c r="F303" i="8"/>
  <c r="E303" i="8"/>
  <c r="F302" i="8"/>
  <c r="E302" i="8"/>
  <c r="F301" i="8"/>
  <c r="E301" i="8"/>
  <c r="F300" i="8"/>
  <c r="E300" i="8"/>
  <c r="E299" i="8"/>
  <c r="F299" i="8"/>
  <c r="F297" i="8"/>
  <c r="E297" i="8"/>
  <c r="F296" i="8"/>
  <c r="E296" i="8"/>
  <c r="F298" i="8"/>
  <c r="E298" i="8"/>
  <c r="F294" i="8"/>
  <c r="E294" i="8"/>
  <c r="F295" i="8"/>
  <c r="E295" i="8"/>
  <c r="F291" i="8"/>
  <c r="E291" i="8"/>
  <c r="F293" i="8"/>
  <c r="E293" i="8"/>
  <c r="F292" i="8"/>
  <c r="E292" i="8"/>
  <c r="E289" i="8"/>
  <c r="F289" i="8"/>
  <c r="E290" i="8"/>
  <c r="F290" i="8"/>
  <c r="E287" i="8"/>
  <c r="F287" i="8"/>
  <c r="E286" i="8"/>
  <c r="F286" i="8"/>
  <c r="F288" i="8"/>
  <c r="E288" i="8"/>
  <c r="E285" i="8"/>
  <c r="F285" i="8"/>
  <c r="E284" i="8"/>
  <c r="F284" i="8"/>
  <c r="F283" i="8"/>
  <c r="E283" i="8"/>
  <c r="E282" i="8"/>
  <c r="F282" i="8"/>
  <c r="F281" i="8"/>
  <c r="E281" i="8"/>
  <c r="F263" i="8"/>
  <c r="F238" i="8"/>
  <c r="E243" i="8"/>
  <c r="F243" i="8"/>
  <c r="E260" i="8"/>
  <c r="F260" i="8"/>
  <c r="E264" i="8"/>
  <c r="F264" i="8"/>
  <c r="E258" i="8"/>
  <c r="F258" i="8"/>
  <c r="E250" i="8"/>
  <c r="F250" i="8"/>
  <c r="F273" i="8"/>
  <c r="E273" i="8"/>
  <c r="E235" i="8"/>
  <c r="F235" i="8"/>
  <c r="E271" i="8"/>
  <c r="F271" i="8"/>
  <c r="E244" i="8"/>
  <c r="F244" i="8"/>
  <c r="F237" i="8"/>
  <c r="E237" i="8"/>
  <c r="E278" i="8"/>
  <c r="F278" i="8"/>
  <c r="F233" i="8"/>
  <c r="E233" i="8"/>
  <c r="F259" i="8"/>
  <c r="E259" i="8"/>
  <c r="F231" i="8"/>
  <c r="E231" i="8"/>
  <c r="E241" i="8"/>
  <c r="F241" i="8"/>
  <c r="E254" i="8"/>
  <c r="F254" i="8"/>
  <c r="E232" i="8"/>
  <c r="F232" i="8"/>
  <c r="E267" i="8"/>
  <c r="F267" i="8"/>
  <c r="E234" i="8"/>
  <c r="F234" i="8"/>
  <c r="E272" i="8"/>
  <c r="F272" i="8"/>
  <c r="F229" i="8"/>
  <c r="E229" i="8"/>
  <c r="E274" i="8"/>
  <c r="F274" i="8"/>
  <c r="E252" i="8"/>
  <c r="F252" i="8"/>
  <c r="F249" i="8"/>
  <c r="E249" i="8"/>
  <c r="E248" i="8"/>
  <c r="F248" i="8"/>
  <c r="F226" i="8"/>
  <c r="E226" i="8"/>
  <c r="F247" i="8"/>
  <c r="E247" i="8"/>
  <c r="E255" i="8"/>
  <c r="F255" i="8"/>
  <c r="E268" i="8"/>
  <c r="F268" i="8"/>
  <c r="E266" i="8"/>
  <c r="F266" i="8"/>
  <c r="F253" i="8"/>
  <c r="E253" i="8"/>
  <c r="E251" i="8"/>
  <c r="F251" i="8"/>
  <c r="E262" i="8"/>
  <c r="F262" i="8"/>
  <c r="E246" i="8"/>
  <c r="F246" i="8"/>
  <c r="F225" i="8"/>
  <c r="E225" i="8"/>
  <c r="F269" i="8"/>
  <c r="E269" i="8"/>
  <c r="E228" i="8"/>
  <c r="F228" i="8"/>
  <c r="E240" i="8"/>
  <c r="F240" i="8"/>
  <c r="E265" i="8"/>
  <c r="F265" i="8"/>
  <c r="E242" i="8"/>
  <c r="F242" i="8"/>
  <c r="E280" i="8"/>
  <c r="F280" i="8"/>
  <c r="E245" i="8"/>
  <c r="F245" i="8"/>
  <c r="F236" i="8"/>
  <c r="E236" i="8"/>
  <c r="E275" i="8"/>
  <c r="F275" i="8"/>
  <c r="F257" i="8"/>
  <c r="E257" i="8"/>
  <c r="F256" i="8"/>
  <c r="E256" i="8"/>
  <c r="F279" i="8"/>
  <c r="E279" i="8"/>
  <c r="E223" i="8"/>
  <c r="F223" i="8"/>
  <c r="E276" i="8"/>
  <c r="F276" i="8"/>
  <c r="E261" i="8"/>
  <c r="F261" i="8"/>
  <c r="F222" i="8"/>
  <c r="E222" i="8"/>
  <c r="F227" i="8"/>
  <c r="E227" i="8"/>
  <c r="F239" i="8"/>
  <c r="E239" i="8"/>
  <c r="E270" i="8"/>
  <c r="F270" i="8"/>
  <c r="F224" i="8"/>
  <c r="E224" i="8"/>
  <c r="F277" i="8"/>
  <c r="E277" i="8"/>
  <c r="F230" i="8"/>
  <c r="E230" i="8"/>
  <c r="E221" i="8"/>
  <c r="F221" i="8"/>
  <c r="E207" i="8"/>
  <c r="E205" i="8"/>
  <c r="F205" i="8"/>
  <c r="F204" i="8"/>
  <c r="E204" i="8"/>
  <c r="E201" i="8"/>
  <c r="F201" i="8"/>
  <c r="F206" i="8"/>
  <c r="E206" i="8"/>
  <c r="F209" i="8"/>
  <c r="E209" i="8"/>
  <c r="E213" i="8"/>
  <c r="F213" i="8"/>
  <c r="F211" i="8"/>
  <c r="E211" i="8"/>
  <c r="F197" i="8"/>
  <c r="E197" i="8"/>
  <c r="F200" i="8"/>
  <c r="E200" i="8"/>
  <c r="F199" i="8"/>
  <c r="E199" i="8"/>
  <c r="E203" i="8"/>
  <c r="F203" i="8"/>
  <c r="F212" i="8"/>
  <c r="E212" i="8"/>
  <c r="F214" i="8"/>
  <c r="E214" i="8"/>
  <c r="E202" i="8"/>
  <c r="F202" i="8"/>
  <c r="E220" i="8"/>
  <c r="F220" i="8"/>
  <c r="F218" i="8"/>
  <c r="E218" i="8"/>
  <c r="F219" i="8"/>
  <c r="E219" i="8"/>
  <c r="F210" i="8"/>
  <c r="E210" i="8"/>
  <c r="E215" i="8"/>
  <c r="F215" i="8"/>
  <c r="E208" i="8"/>
  <c r="F208" i="8"/>
  <c r="F198" i="8"/>
  <c r="E198" i="8"/>
  <c r="F217" i="8"/>
  <c r="E217" i="8"/>
  <c r="F216" i="8"/>
  <c r="E216" i="8"/>
  <c r="E196" i="8"/>
  <c r="F196" i="8"/>
  <c r="F189" i="8"/>
  <c r="F188" i="8"/>
  <c r="E188" i="8"/>
  <c r="F191" i="8"/>
  <c r="E191" i="8"/>
  <c r="F194" i="8"/>
  <c r="E194" i="8"/>
  <c r="E173" i="8"/>
  <c r="F173" i="8"/>
  <c r="F182" i="8"/>
  <c r="E182" i="8"/>
  <c r="F193" i="8"/>
  <c r="E193" i="8"/>
  <c r="E185" i="8"/>
  <c r="F185" i="8"/>
  <c r="E179" i="8"/>
  <c r="F179" i="8"/>
  <c r="E175" i="8"/>
  <c r="F175" i="8"/>
  <c r="F172" i="8"/>
  <c r="E172" i="8"/>
  <c r="E187" i="8"/>
  <c r="F187" i="8"/>
  <c r="F190" i="8"/>
  <c r="E190" i="8"/>
  <c r="F176" i="8"/>
  <c r="E176" i="8"/>
  <c r="F181" i="8"/>
  <c r="E181" i="8"/>
  <c r="F178" i="8"/>
  <c r="E178" i="8"/>
  <c r="E186" i="8"/>
  <c r="F186" i="8"/>
  <c r="E195" i="8"/>
  <c r="F195" i="8"/>
  <c r="F174" i="8"/>
  <c r="E174" i="8"/>
  <c r="E184" i="8"/>
  <c r="F184" i="8"/>
  <c r="E183" i="8"/>
  <c r="F183" i="8"/>
  <c r="E192" i="8"/>
  <c r="F192" i="8"/>
  <c r="E177" i="8"/>
  <c r="F177" i="8"/>
  <c r="E180" i="8"/>
  <c r="F180" i="8"/>
  <c r="E84" i="8"/>
  <c r="E171" i="8"/>
  <c r="F171" i="8"/>
  <c r="E168" i="8"/>
  <c r="E157" i="8"/>
  <c r="F170" i="8"/>
  <c r="E170" i="8"/>
  <c r="F169" i="8"/>
  <c r="E169" i="8"/>
  <c r="F160" i="8"/>
  <c r="E160" i="8"/>
  <c r="F162" i="8"/>
  <c r="E162" i="8"/>
  <c r="F149" i="8"/>
  <c r="E149" i="8"/>
  <c r="F153" i="8"/>
  <c r="E153" i="8"/>
  <c r="E167" i="8"/>
  <c r="F167" i="8"/>
  <c r="E154" i="8"/>
  <c r="F154" i="8"/>
  <c r="F164" i="8"/>
  <c r="E164" i="8"/>
  <c r="E155" i="8"/>
  <c r="F155" i="8"/>
  <c r="F147" i="8"/>
  <c r="E147" i="8"/>
  <c r="F152" i="8"/>
  <c r="E152" i="8"/>
  <c r="E166" i="8"/>
  <c r="F166" i="8"/>
  <c r="F159" i="8"/>
  <c r="E159" i="8"/>
  <c r="F148" i="8"/>
  <c r="E148" i="8"/>
  <c r="F158" i="8"/>
  <c r="E158" i="8"/>
  <c r="E156" i="8"/>
  <c r="F156" i="8"/>
  <c r="E151" i="8"/>
  <c r="F151" i="8"/>
  <c r="F161" i="8"/>
  <c r="E161" i="8"/>
  <c r="E163" i="8"/>
  <c r="F163" i="8"/>
  <c r="F150" i="8"/>
  <c r="E150" i="8"/>
  <c r="F165" i="8"/>
  <c r="E165" i="8"/>
  <c r="E146" i="8"/>
  <c r="F146" i="8"/>
  <c r="E140" i="8"/>
  <c r="E70" i="8"/>
  <c r="F145" i="8"/>
  <c r="E145" i="8"/>
  <c r="E104" i="8"/>
  <c r="E31" i="8"/>
  <c r="F36" i="8"/>
  <c r="F34" i="8"/>
  <c r="E136" i="8"/>
  <c r="F136" i="8"/>
  <c r="F56" i="8"/>
  <c r="F48" i="8"/>
  <c r="E46" i="8"/>
  <c r="E144" i="8"/>
  <c r="F144" i="8"/>
  <c r="F139" i="8"/>
  <c r="E139" i="8"/>
  <c r="E142" i="8"/>
  <c r="F142" i="8"/>
  <c r="E135" i="8"/>
  <c r="F135" i="8"/>
  <c r="E138" i="8"/>
  <c r="F138" i="8"/>
  <c r="E137" i="8"/>
  <c r="F137" i="8"/>
  <c r="E134" i="8"/>
  <c r="F134" i="8"/>
  <c r="F143" i="8"/>
  <c r="E143" i="8"/>
  <c r="F117" i="8"/>
  <c r="F68" i="8"/>
  <c r="E133" i="8"/>
  <c r="F133" i="8"/>
  <c r="E106" i="8"/>
  <c r="F141" i="8"/>
  <c r="E141" i="8"/>
  <c r="E24" i="8"/>
  <c r="E125" i="8"/>
  <c r="E22" i="8"/>
  <c r="E132" i="8"/>
  <c r="F132" i="8"/>
  <c r="E131" i="8"/>
  <c r="F131" i="8"/>
  <c r="E130" i="8"/>
  <c r="F130" i="8"/>
  <c r="E129" i="8"/>
  <c r="F129" i="8"/>
  <c r="E128" i="8"/>
  <c r="F128" i="8"/>
  <c r="F101" i="8"/>
  <c r="E76" i="8"/>
  <c r="E110" i="8"/>
  <c r="F105" i="8"/>
  <c r="F103" i="8"/>
  <c r="F102" i="8"/>
  <c r="F87" i="8"/>
  <c r="F95" i="8"/>
  <c r="F111" i="8"/>
  <c r="E108" i="8"/>
  <c r="F74" i="8"/>
  <c r="E62" i="8"/>
  <c r="E79" i="8"/>
  <c r="E100" i="8"/>
  <c r="E69" i="8"/>
  <c r="E86" i="8"/>
  <c r="F122" i="8"/>
  <c r="F121" i="8"/>
  <c r="F98" i="8"/>
  <c r="E118" i="8"/>
  <c r="E124" i="8"/>
  <c r="E115" i="8"/>
  <c r="E116" i="8"/>
  <c r="E37" i="8"/>
  <c r="E81" i="8"/>
  <c r="E18" i="8"/>
  <c r="E107" i="8"/>
  <c r="E6" i="8"/>
  <c r="F89" i="8"/>
  <c r="F4" i="8"/>
  <c r="E96" i="8"/>
  <c r="E19" i="8"/>
  <c r="F99" i="8"/>
  <c r="E78" i="8"/>
  <c r="F2" i="8"/>
  <c r="E127" i="8"/>
  <c r="E25" i="8"/>
  <c r="E20" i="8"/>
  <c r="E49" i="8"/>
  <c r="E123" i="8"/>
  <c r="E71" i="8"/>
  <c r="E91" i="8"/>
  <c r="E94" i="8"/>
  <c r="E92" i="8"/>
  <c r="E14" i="8"/>
  <c r="E113" i="8"/>
  <c r="E53" i="8"/>
  <c r="E120" i="8"/>
  <c r="E126" i="8"/>
  <c r="E16" i="8"/>
  <c r="E44" i="8"/>
  <c r="E61" i="8"/>
  <c r="F10" i="8"/>
  <c r="E10" i="8"/>
  <c r="E23" i="8"/>
  <c r="E7" i="8"/>
  <c r="F59" i="8"/>
  <c r="F83" i="8"/>
  <c r="E50" i="8"/>
  <c r="F35" i="8"/>
  <c r="E38" i="8"/>
  <c r="E55" i="8"/>
  <c r="E72" i="8"/>
  <c r="E67" i="8"/>
  <c r="F11" i="8"/>
  <c r="F29" i="8"/>
  <c r="F88" i="8"/>
  <c r="F3" i="8"/>
  <c r="E3" i="8"/>
  <c r="E39" i="8"/>
  <c r="F39" i="8"/>
  <c r="F73" i="8"/>
  <c r="F5" i="8"/>
  <c r="E15" i="8"/>
  <c r="F15" i="8"/>
  <c r="E41" i="8"/>
  <c r="E63" i="8"/>
  <c r="F63" i="8"/>
  <c r="F42" i="8"/>
  <c r="E93" i="8"/>
  <c r="E77" i="8"/>
  <c r="F80" i="8"/>
  <c r="F90" i="8"/>
  <c r="F109" i="8"/>
  <c r="F28" i="8"/>
  <c r="E28" i="8"/>
  <c r="E45" i="8"/>
  <c r="F45" i="8"/>
  <c r="E85" i="8"/>
  <c r="F26" i="8"/>
  <c r="E60" i="8"/>
  <c r="F40" i="8"/>
  <c r="E40" i="8"/>
  <c r="F57" i="8"/>
  <c r="E57" i="8"/>
  <c r="E97" i="8"/>
  <c r="E114" i="8"/>
  <c r="E66" i="8"/>
  <c r="E30" i="8"/>
  <c r="E119" i="8"/>
  <c r="E52" i="8"/>
  <c r="F52" i="8"/>
  <c r="E8" i="8"/>
  <c r="E54" i="8"/>
  <c r="E47" i="8"/>
  <c r="E17" i="8"/>
  <c r="F43" i="8"/>
  <c r="E12" i="8"/>
  <c r="F64" i="8"/>
  <c r="E64" i="8"/>
  <c r="F21" i="8"/>
  <c r="E21" i="8"/>
  <c r="F75" i="8"/>
  <c r="F32" i="8"/>
  <c r="E65" i="8"/>
  <c r="E58" i="8"/>
  <c r="F9" i="8"/>
  <c r="E9" i="8"/>
  <c r="F33" i="8"/>
  <c r="E33" i="8"/>
  <c r="F112" i="8"/>
  <c r="E112" i="8"/>
  <c r="E82" i="8"/>
  <c r="F13" i="8"/>
  <c r="E51" i="8"/>
  <c r="F51" i="8"/>
  <c r="F27" i="8"/>
  <c r="E27" i="8"/>
  <c r="L1088" i="9" l="1"/>
  <c r="L1129" i="9"/>
  <c r="L1128" i="9"/>
  <c r="L1111" i="9"/>
  <c r="L1123" i="9"/>
  <c r="L1080" i="9"/>
  <c r="L1112" i="9"/>
  <c r="L1066" i="9"/>
  <c r="L1042" i="9"/>
  <c r="L1100" i="9"/>
  <c r="L1055" i="9"/>
  <c r="L1132" i="9"/>
  <c r="L1137" i="9"/>
  <c r="L1046" i="9"/>
  <c r="L1135" i="9"/>
  <c r="L1086" i="9"/>
  <c r="L1062" i="9"/>
  <c r="L1120" i="9"/>
  <c r="L1054" i="9"/>
  <c r="L1108" i="9"/>
  <c r="L1115" i="9"/>
  <c r="L1085" i="9"/>
  <c r="L1106" i="9"/>
  <c r="L1082" i="9"/>
  <c r="L1058" i="9"/>
  <c r="L1074" i="9"/>
  <c r="L1126" i="9"/>
  <c r="L1102" i="9"/>
  <c r="L1078" i="9"/>
  <c r="L1094" i="9"/>
  <c r="L1039" i="9"/>
  <c r="L1047" i="9"/>
  <c r="L1122" i="9"/>
  <c r="L1098" i="9"/>
  <c r="L1114" i="9"/>
  <c r="L1051" i="9"/>
  <c r="L1045" i="9"/>
  <c r="L1061" i="9"/>
  <c r="L1118" i="9"/>
  <c r="L1134" i="9"/>
  <c r="L1071" i="9"/>
  <c r="L1065" i="9"/>
  <c r="L1081" i="9"/>
  <c r="L1138" i="9"/>
  <c r="L1133" i="9"/>
  <c r="L1091" i="9"/>
  <c r="L1075" i="9"/>
  <c r="L1101" i="9"/>
  <c r="L1105" i="9"/>
  <c r="L1121" i="9"/>
  <c r="L1068" i="9"/>
  <c r="L1131" i="9"/>
  <c r="L1125" i="9"/>
  <c r="L1141" i="9"/>
  <c r="L1087" i="9"/>
  <c r="L1095" i="9"/>
  <c r="L1130" i="9"/>
  <c r="L1044" i="9"/>
  <c r="L1140" i="9"/>
  <c r="L1057" i="9"/>
  <c r="L1041" i="9"/>
  <c r="L1050" i="9"/>
  <c r="L1064" i="9"/>
  <c r="L1107" i="9"/>
  <c r="L1077" i="9"/>
  <c r="L1053" i="9"/>
  <c r="L1070" i="9"/>
  <c r="L1084" i="9"/>
  <c r="L1059" i="9"/>
  <c r="L1097" i="9"/>
  <c r="L1073" i="9"/>
  <c r="L1090" i="9"/>
  <c r="L1104" i="9"/>
  <c r="L1079" i="9"/>
  <c r="L1117" i="9"/>
  <c r="L1093" i="9"/>
  <c r="L1110" i="9"/>
  <c r="L1069" i="9"/>
  <c r="L1124" i="9"/>
  <c r="L1056" i="9"/>
  <c r="L1049" i="9"/>
  <c r="L1043" i="9"/>
  <c r="L1119" i="9"/>
  <c r="L1076" i="9"/>
  <c r="L1040" i="9"/>
  <c r="L1063" i="9"/>
  <c r="L1139" i="9"/>
  <c r="L1096" i="9"/>
  <c r="L1052" i="9"/>
  <c r="L1089" i="9"/>
  <c r="L1099" i="9"/>
  <c r="L1113" i="9"/>
  <c r="L1127" i="9"/>
  <c r="L1083" i="9"/>
  <c r="L1048" i="9"/>
  <c r="L1116" i="9"/>
  <c r="L1072" i="9"/>
  <c r="L1109" i="9"/>
  <c r="L1067" i="9"/>
  <c r="L1103" i="9"/>
  <c r="L1060" i="9"/>
  <c r="L1136" i="9"/>
  <c r="L1092" i="9"/>
  <c r="L1037" i="9"/>
  <c r="L1035" i="9"/>
  <c r="L1026" i="9"/>
  <c r="L1033" i="9"/>
  <c r="L1031" i="9"/>
  <c r="L1036" i="9"/>
  <c r="L1022" i="9"/>
  <c r="L1029" i="9"/>
  <c r="L1027" i="9"/>
  <c r="L1025" i="9"/>
  <c r="L1030" i="9"/>
  <c r="L1032" i="9"/>
  <c r="L1024" i="9"/>
  <c r="L1038" i="9"/>
  <c r="L1028" i="9"/>
  <c r="L1023" i="9"/>
  <c r="L1034" i="9"/>
  <c r="L1008" i="9"/>
  <c r="L974" i="9"/>
  <c r="L964" i="9"/>
  <c r="L1021" i="9"/>
  <c r="L998" i="9"/>
  <c r="L972" i="9"/>
  <c r="L1003" i="9"/>
  <c r="L978" i="9"/>
  <c r="L1020" i="9"/>
  <c r="L980" i="9"/>
  <c r="L973" i="9"/>
  <c r="L1007" i="9"/>
  <c r="L990" i="9"/>
  <c r="L993" i="9"/>
  <c r="L1006" i="9"/>
  <c r="L1010" i="9"/>
  <c r="L965" i="9"/>
  <c r="L989" i="9"/>
  <c r="L992" i="9"/>
  <c r="L975" i="9"/>
  <c r="L1019" i="9"/>
  <c r="L1011" i="9"/>
  <c r="L1002" i="9"/>
  <c r="L985" i="9"/>
  <c r="L988" i="9"/>
  <c r="L1018" i="9"/>
  <c r="L963" i="9"/>
  <c r="L1001" i="9"/>
  <c r="L1015" i="9"/>
  <c r="L962" i="9"/>
  <c r="L991" i="9"/>
  <c r="L1014" i="9"/>
  <c r="L967" i="9"/>
  <c r="L976" i="9"/>
  <c r="L984" i="9"/>
  <c r="L997" i="9"/>
  <c r="L987" i="9"/>
  <c r="L970" i="9"/>
  <c r="L1004" i="9"/>
  <c r="L1017" i="9"/>
  <c r="L981" i="9"/>
  <c r="L966" i="9"/>
  <c r="L983" i="9"/>
  <c r="L969" i="9"/>
  <c r="L1013" i="9"/>
  <c r="L986" i="9"/>
  <c r="L1005" i="9"/>
  <c r="L1000" i="9"/>
  <c r="L979" i="9"/>
  <c r="L977" i="9"/>
  <c r="L996" i="9"/>
  <c r="L971" i="9"/>
  <c r="L999" i="9"/>
  <c r="L982" i="9"/>
  <c r="L1016" i="9"/>
  <c r="L995" i="9"/>
  <c r="L1009" i="9"/>
  <c r="L1012" i="9"/>
  <c r="L994" i="9"/>
  <c r="L968" i="9"/>
  <c r="L484" i="9"/>
  <c r="L74" i="9"/>
  <c r="L491" i="9"/>
  <c r="L486" i="9"/>
  <c r="L439" i="9"/>
  <c r="L83" i="9"/>
  <c r="L497" i="9"/>
  <c r="L485" i="9"/>
  <c r="L71" i="9"/>
  <c r="L456" i="9"/>
  <c r="L84" i="9"/>
  <c r="L82" i="9"/>
  <c r="L75" i="9"/>
  <c r="L483" i="9"/>
  <c r="L81" i="9"/>
  <c r="L73" i="9"/>
  <c r="L482" i="9"/>
  <c r="L496" i="9"/>
  <c r="L433" i="9"/>
  <c r="L416" i="9"/>
  <c r="L501" i="9"/>
  <c r="L481" i="9"/>
  <c r="L498" i="9"/>
  <c r="L80" i="9"/>
  <c r="L72" i="9"/>
  <c r="L490" i="9"/>
  <c r="L495" i="9"/>
  <c r="L500" i="9"/>
  <c r="L494" i="9"/>
  <c r="L473" i="9"/>
  <c r="L489" i="9"/>
  <c r="L78" i="9"/>
  <c r="L493" i="9"/>
  <c r="L422" i="9"/>
  <c r="L79" i="9"/>
  <c r="L70" i="9"/>
  <c r="L76" i="9"/>
  <c r="L85" i="9"/>
  <c r="L77" i="9"/>
  <c r="L492" i="9"/>
  <c r="L487" i="9"/>
  <c r="L499" i="9"/>
  <c r="L467" i="9"/>
  <c r="L450" i="9"/>
  <c r="L488" i="9"/>
  <c r="L405" i="9"/>
  <c r="L907" i="9"/>
  <c r="L821" i="9"/>
  <c r="L805" i="9"/>
  <c r="L878" i="9"/>
  <c r="L854" i="9"/>
  <c r="L908" i="9"/>
  <c r="L925" i="9"/>
  <c r="L906" i="9"/>
  <c r="L853" i="9"/>
  <c r="L864" i="9"/>
  <c r="L887" i="9"/>
  <c r="L910" i="9"/>
  <c r="L933" i="9"/>
  <c r="L956" i="9"/>
  <c r="L812" i="9"/>
  <c r="L835" i="9"/>
  <c r="L822" i="9"/>
  <c r="L869" i="9"/>
  <c r="L892" i="9"/>
  <c r="L903" i="9"/>
  <c r="L926" i="9"/>
  <c r="L852" i="9"/>
  <c r="L898" i="9"/>
  <c r="L944" i="9"/>
  <c r="L823" i="9"/>
  <c r="L857" i="9"/>
  <c r="L880" i="9"/>
  <c r="L914" i="9"/>
  <c r="L882" i="9"/>
  <c r="L829" i="9"/>
  <c r="L840" i="9"/>
  <c r="L863" i="9"/>
  <c r="L886" i="9"/>
  <c r="L909" i="9"/>
  <c r="L932" i="9"/>
  <c r="L955" i="9"/>
  <c r="L811" i="9"/>
  <c r="L798" i="9"/>
  <c r="L845" i="9"/>
  <c r="L868" i="9"/>
  <c r="L879" i="9"/>
  <c r="L902" i="9"/>
  <c r="L841" i="9"/>
  <c r="L875" i="9"/>
  <c r="L921" i="9"/>
  <c r="L800" i="9"/>
  <c r="L810" i="9"/>
  <c r="L891" i="9"/>
  <c r="L961" i="9"/>
  <c r="L817" i="9"/>
  <c r="L828" i="9"/>
  <c r="L851" i="9"/>
  <c r="L874" i="9"/>
  <c r="L897" i="9"/>
  <c r="L920" i="9"/>
  <c r="L943" i="9"/>
  <c r="L799" i="9"/>
  <c r="L954" i="9"/>
  <c r="L833" i="9"/>
  <c r="L856" i="9"/>
  <c r="L867" i="9"/>
  <c r="L890" i="9"/>
  <c r="L862" i="9"/>
  <c r="L885" i="9"/>
  <c r="L855" i="9"/>
  <c r="L937" i="9"/>
  <c r="L948" i="9"/>
  <c r="L804" i="9"/>
  <c r="L827" i="9"/>
  <c r="L850" i="9"/>
  <c r="L873" i="9"/>
  <c r="L896" i="9"/>
  <c r="L919" i="9"/>
  <c r="L918" i="9"/>
  <c r="L953" i="9"/>
  <c r="L809" i="9"/>
  <c r="L832" i="9"/>
  <c r="L843" i="9"/>
  <c r="L866" i="9"/>
  <c r="L839" i="9"/>
  <c r="L844" i="9"/>
  <c r="L815" i="9"/>
  <c r="L941" i="9"/>
  <c r="L913" i="9"/>
  <c r="L924" i="9"/>
  <c r="L947" i="9"/>
  <c r="L803" i="9"/>
  <c r="L826" i="9"/>
  <c r="L849" i="9"/>
  <c r="L872" i="9"/>
  <c r="L895" i="9"/>
  <c r="L894" i="9"/>
  <c r="L929" i="9"/>
  <c r="L952" i="9"/>
  <c r="L808" i="9"/>
  <c r="L819" i="9"/>
  <c r="L842" i="9"/>
  <c r="L949" i="9"/>
  <c r="L931" i="9"/>
  <c r="L838" i="9"/>
  <c r="L820" i="9"/>
  <c r="L901" i="9"/>
  <c r="L912" i="9"/>
  <c r="L935" i="9"/>
  <c r="L958" i="9"/>
  <c r="L814" i="9"/>
  <c r="L837" i="9"/>
  <c r="L860" i="9"/>
  <c r="L883" i="9"/>
  <c r="L870" i="9"/>
  <c r="L917" i="9"/>
  <c r="L940" i="9"/>
  <c r="L951" i="9"/>
  <c r="L807" i="9"/>
  <c r="L830" i="9"/>
  <c r="L816" i="9"/>
  <c r="L942" i="9"/>
  <c r="L959" i="9"/>
  <c r="L884" i="9"/>
  <c r="L831" i="9"/>
  <c r="L889" i="9"/>
  <c r="L900" i="9"/>
  <c r="L923" i="9"/>
  <c r="L946" i="9"/>
  <c r="L802" i="9"/>
  <c r="L825" i="9"/>
  <c r="L848" i="9"/>
  <c r="L871" i="9"/>
  <c r="L858" i="9"/>
  <c r="L905" i="9"/>
  <c r="L928" i="9"/>
  <c r="L939" i="9"/>
  <c r="L930" i="9"/>
  <c r="L818" i="9"/>
  <c r="L960" i="9"/>
  <c r="L796" i="9"/>
  <c r="L936" i="9"/>
  <c r="L861" i="9"/>
  <c r="L797" i="9"/>
  <c r="L877" i="9"/>
  <c r="L888" i="9"/>
  <c r="L911" i="9"/>
  <c r="L934" i="9"/>
  <c r="L957" i="9"/>
  <c r="L813" i="9"/>
  <c r="L836" i="9"/>
  <c r="L859" i="9"/>
  <c r="L846" i="9"/>
  <c r="L893" i="9"/>
  <c r="L916" i="9"/>
  <c r="L927" i="9"/>
  <c r="L950" i="9"/>
  <c r="L806" i="9"/>
  <c r="L865" i="9"/>
  <c r="L876" i="9"/>
  <c r="L899" i="9"/>
  <c r="L922" i="9"/>
  <c r="L945" i="9"/>
  <c r="L801" i="9"/>
  <c r="L824" i="9"/>
  <c r="L847" i="9"/>
  <c r="L834" i="9"/>
  <c r="L881" i="9"/>
  <c r="L904" i="9"/>
  <c r="L915" i="9"/>
  <c r="L938" i="9"/>
  <c r="L196" i="9"/>
  <c r="L170" i="9"/>
  <c r="L238" i="9"/>
  <c r="L188" i="9"/>
  <c r="L161" i="9"/>
  <c r="L217" i="9"/>
  <c r="L210" i="9"/>
  <c r="L202" i="9"/>
  <c r="L163" i="9"/>
  <c r="L168" i="9"/>
  <c r="L224" i="9"/>
  <c r="L216" i="9"/>
  <c r="L209" i="9"/>
  <c r="L150" i="9"/>
  <c r="L211" i="9"/>
  <c r="L157" i="9"/>
  <c r="L231" i="9"/>
  <c r="L223" i="9"/>
  <c r="L222" i="9"/>
  <c r="L197" i="9"/>
  <c r="L195" i="9"/>
  <c r="L182" i="9"/>
  <c r="L244" i="9"/>
  <c r="L230" i="9"/>
  <c r="L229" i="9"/>
  <c r="L189" i="9"/>
  <c r="L204" i="9"/>
  <c r="L203" i="9"/>
  <c r="L215" i="9"/>
  <c r="L251" i="9"/>
  <c r="L243" i="9"/>
  <c r="L242" i="9"/>
  <c r="L162" i="9"/>
  <c r="L149" i="9"/>
  <c r="L237" i="9"/>
  <c r="L250" i="9"/>
  <c r="L249" i="9"/>
  <c r="L156" i="9"/>
  <c r="L155" i="9"/>
  <c r="L236" i="9"/>
  <c r="L177" i="9"/>
  <c r="L184" i="9"/>
  <c r="L148" i="9"/>
  <c r="L176" i="9"/>
  <c r="L175" i="9"/>
  <c r="L190" i="9"/>
  <c r="L183" i="9"/>
  <c r="L169" i="9"/>
  <c r="L714" i="9"/>
  <c r="L656" i="9"/>
  <c r="L769" i="9"/>
  <c r="L780" i="9"/>
  <c r="L727" i="9"/>
  <c r="L735" i="9"/>
  <c r="L712" i="9"/>
  <c r="L767" i="9"/>
  <c r="L766" i="9"/>
  <c r="L765" i="9"/>
  <c r="L764" i="9"/>
  <c r="L703" i="9"/>
  <c r="L702" i="9"/>
  <c r="L701" i="9"/>
  <c r="L700" i="9"/>
  <c r="L711" i="9"/>
  <c r="L722" i="9"/>
  <c r="L733" i="9"/>
  <c r="L744" i="9"/>
  <c r="L755" i="9"/>
  <c r="L754" i="9"/>
  <c r="L753" i="9"/>
  <c r="L752" i="9"/>
  <c r="L737" i="9"/>
  <c r="L788" i="9"/>
  <c r="L778" i="9"/>
  <c r="L723" i="9"/>
  <c r="L691" i="9"/>
  <c r="L690" i="9"/>
  <c r="L689" i="9"/>
  <c r="L688" i="9"/>
  <c r="L699" i="9"/>
  <c r="L710" i="9"/>
  <c r="L721" i="9"/>
  <c r="L732" i="9"/>
  <c r="L743" i="9"/>
  <c r="L742" i="9"/>
  <c r="L741" i="9"/>
  <c r="L740" i="9"/>
  <c r="L738" i="9"/>
  <c r="L790" i="9"/>
  <c r="L779" i="9"/>
  <c r="L734" i="9"/>
  <c r="L679" i="9"/>
  <c r="L678" i="9"/>
  <c r="L677" i="9"/>
  <c r="L676" i="9"/>
  <c r="L687" i="9"/>
  <c r="L698" i="9"/>
  <c r="L709" i="9"/>
  <c r="L720" i="9"/>
  <c r="L731" i="9"/>
  <c r="L730" i="9"/>
  <c r="L729" i="9"/>
  <c r="L728" i="9"/>
  <c r="L756" i="9"/>
  <c r="L667" i="9"/>
  <c r="L666" i="9"/>
  <c r="L665" i="9"/>
  <c r="L664" i="9"/>
  <c r="L675" i="9"/>
  <c r="L686" i="9"/>
  <c r="L697" i="9"/>
  <c r="L708" i="9"/>
  <c r="L719" i="9"/>
  <c r="L718" i="9"/>
  <c r="L717" i="9"/>
  <c r="L716" i="9"/>
  <c r="L736" i="9"/>
  <c r="L789" i="9"/>
  <c r="L725" i="9"/>
  <c r="L768" i="9"/>
  <c r="L745" i="9"/>
  <c r="L655" i="9"/>
  <c r="L654" i="9"/>
  <c r="L653" i="9"/>
  <c r="L652" i="9"/>
  <c r="L663" i="9"/>
  <c r="L674" i="9"/>
  <c r="L685" i="9"/>
  <c r="L696" i="9"/>
  <c r="L707" i="9"/>
  <c r="L706" i="9"/>
  <c r="L705" i="9"/>
  <c r="L704" i="9"/>
  <c r="L747" i="9"/>
  <c r="L777" i="9"/>
  <c r="L715" i="9"/>
  <c r="L787" i="9"/>
  <c r="L786" i="9"/>
  <c r="L785" i="9"/>
  <c r="L784" i="9"/>
  <c r="L795" i="9"/>
  <c r="L651" i="9"/>
  <c r="L662" i="9"/>
  <c r="L673" i="9"/>
  <c r="L684" i="9"/>
  <c r="L695" i="9"/>
  <c r="L694" i="9"/>
  <c r="L693" i="9"/>
  <c r="L692" i="9"/>
  <c r="L791" i="9"/>
  <c r="L776" i="9"/>
  <c r="L775" i="9"/>
  <c r="L774" i="9"/>
  <c r="L773" i="9"/>
  <c r="L772" i="9"/>
  <c r="L783" i="9"/>
  <c r="L794" i="9"/>
  <c r="L650" i="9"/>
  <c r="L661" i="9"/>
  <c r="L672" i="9"/>
  <c r="L683" i="9"/>
  <c r="L682" i="9"/>
  <c r="L681" i="9"/>
  <c r="L680" i="9"/>
  <c r="L758" i="9"/>
  <c r="L746" i="9"/>
  <c r="L713" i="9"/>
  <c r="L763" i="9"/>
  <c r="L762" i="9"/>
  <c r="L761" i="9"/>
  <c r="L760" i="9"/>
  <c r="L771" i="9"/>
  <c r="L782" i="9"/>
  <c r="L793" i="9"/>
  <c r="L649" i="9"/>
  <c r="L660" i="9"/>
  <c r="L671" i="9"/>
  <c r="L670" i="9"/>
  <c r="L669" i="9"/>
  <c r="L668" i="9"/>
  <c r="L739" i="9"/>
  <c r="L726" i="9"/>
  <c r="L724" i="9"/>
  <c r="L757" i="9"/>
  <c r="L751" i="9"/>
  <c r="L750" i="9"/>
  <c r="L749" i="9"/>
  <c r="L748" i="9"/>
  <c r="L759" i="9"/>
  <c r="L770" i="9"/>
  <c r="L781" i="9"/>
  <c r="L792" i="9"/>
  <c r="L648" i="9"/>
  <c r="L659" i="9"/>
  <c r="L658" i="9"/>
  <c r="L657" i="9"/>
  <c r="L535" i="9"/>
  <c r="L605" i="9"/>
  <c r="L582" i="9"/>
  <c r="L639" i="9"/>
  <c r="L638" i="9"/>
  <c r="L637" i="9"/>
  <c r="L518" i="9"/>
  <c r="L617" i="9"/>
  <c r="L623" i="9"/>
  <c r="L634" i="9"/>
  <c r="L633" i="9"/>
  <c r="L632" i="9"/>
  <c r="L512" i="9"/>
  <c r="L569" i="9"/>
  <c r="L570" i="9"/>
  <c r="L627" i="9"/>
  <c r="L626" i="9"/>
  <c r="L625" i="9"/>
  <c r="L636" i="9"/>
  <c r="L593" i="9"/>
  <c r="L611" i="9"/>
  <c r="L622" i="9"/>
  <c r="L621" i="9"/>
  <c r="L620" i="9"/>
  <c r="L526" i="9"/>
  <c r="L533" i="9"/>
  <c r="L558" i="9"/>
  <c r="L615" i="9"/>
  <c r="L614" i="9"/>
  <c r="L613" i="9"/>
  <c r="L624" i="9"/>
  <c r="L581" i="9"/>
  <c r="L599" i="9"/>
  <c r="L610" i="9"/>
  <c r="L609" i="9"/>
  <c r="L608" i="9"/>
  <c r="L643" i="9"/>
  <c r="L568" i="9"/>
  <c r="L546" i="9"/>
  <c r="L603" i="9"/>
  <c r="L602" i="9"/>
  <c r="L601" i="9"/>
  <c r="L612" i="9"/>
  <c r="L545" i="9"/>
  <c r="L587" i="9"/>
  <c r="L598" i="9"/>
  <c r="L597" i="9"/>
  <c r="L596" i="9"/>
  <c r="L631" i="9"/>
  <c r="L544" i="9"/>
  <c r="L534" i="9"/>
  <c r="L591" i="9"/>
  <c r="L590" i="9"/>
  <c r="L589" i="9"/>
  <c r="L600" i="9"/>
  <c r="L556" i="9"/>
  <c r="L575" i="9"/>
  <c r="L586" i="9"/>
  <c r="L585" i="9"/>
  <c r="L584" i="9"/>
  <c r="L619" i="9"/>
  <c r="L510" i="9"/>
  <c r="L557" i="9"/>
  <c r="L579" i="9"/>
  <c r="L578" i="9"/>
  <c r="L577" i="9"/>
  <c r="L588" i="9"/>
  <c r="L532" i="9"/>
  <c r="L563" i="9"/>
  <c r="L574" i="9"/>
  <c r="L573" i="9"/>
  <c r="L572" i="9"/>
  <c r="L607" i="9"/>
  <c r="L525" i="9"/>
  <c r="L523" i="9"/>
  <c r="L567" i="9"/>
  <c r="L566" i="9"/>
  <c r="L565" i="9"/>
  <c r="L576" i="9"/>
  <c r="L503" i="9"/>
  <c r="L551" i="9"/>
  <c r="L562" i="9"/>
  <c r="L561" i="9"/>
  <c r="L560" i="9"/>
  <c r="L595" i="9"/>
  <c r="L642" i="9"/>
  <c r="L502" i="9"/>
  <c r="L555" i="9"/>
  <c r="L554" i="9"/>
  <c r="L553" i="9"/>
  <c r="L564" i="9"/>
  <c r="L506" i="9"/>
  <c r="L539" i="9"/>
  <c r="L550" i="9"/>
  <c r="L549" i="9"/>
  <c r="L548" i="9"/>
  <c r="L583" i="9"/>
  <c r="L630" i="9"/>
  <c r="L505" i="9"/>
  <c r="L543" i="9"/>
  <c r="L542" i="9"/>
  <c r="L541" i="9"/>
  <c r="L552" i="9"/>
  <c r="L516" i="9"/>
  <c r="L527" i="9"/>
  <c r="L538" i="9"/>
  <c r="L537" i="9"/>
  <c r="L536" i="9"/>
  <c r="L571" i="9"/>
  <c r="L618" i="9"/>
  <c r="L507" i="9"/>
  <c r="L531" i="9"/>
  <c r="L530" i="9"/>
  <c r="L529" i="9"/>
  <c r="L540" i="9"/>
  <c r="L517" i="9"/>
  <c r="L580" i="9"/>
  <c r="L628" i="9"/>
  <c r="L592" i="9"/>
  <c r="L640" i="9"/>
  <c r="L559" i="9"/>
  <c r="L524" i="9"/>
  <c r="L606" i="9"/>
  <c r="L521" i="9"/>
  <c r="L508" i="9"/>
  <c r="L604" i="9"/>
  <c r="L509" i="9"/>
  <c r="L528" i="9"/>
  <c r="L647" i="9"/>
  <c r="L515" i="9"/>
  <c r="L514" i="9"/>
  <c r="L513" i="9"/>
  <c r="L504" i="9"/>
  <c r="L547" i="9"/>
  <c r="L629" i="9"/>
  <c r="L594" i="9"/>
  <c r="L522" i="9"/>
  <c r="L520" i="9"/>
  <c r="L519" i="9"/>
  <c r="L616" i="9"/>
  <c r="L641" i="9"/>
  <c r="L635" i="9"/>
  <c r="L646" i="9"/>
  <c r="L645" i="9"/>
  <c r="L644" i="9"/>
  <c r="L511" i="9"/>
  <c r="L437" i="9"/>
  <c r="L413" i="9"/>
  <c r="L428" i="9"/>
  <c r="L435" i="9"/>
  <c r="L408" i="9"/>
  <c r="L465" i="9"/>
  <c r="L410" i="9"/>
  <c r="L448" i="9"/>
  <c r="L404" i="9"/>
  <c r="L418" i="9"/>
  <c r="L469" i="9"/>
  <c r="L477" i="9"/>
  <c r="L440" i="9"/>
  <c r="L411" i="9"/>
  <c r="L463" i="9"/>
  <c r="L446" i="9"/>
  <c r="L457" i="9"/>
  <c r="L414" i="9"/>
  <c r="L402" i="9"/>
  <c r="L426" i="9"/>
  <c r="L449" i="9"/>
  <c r="L432" i="9"/>
  <c r="L471" i="9"/>
  <c r="L443" i="9"/>
  <c r="L438" i="9"/>
  <c r="L453" i="9"/>
  <c r="L412" i="9"/>
  <c r="L436" i="9"/>
  <c r="L419" i="9"/>
  <c r="L429" i="9"/>
  <c r="L421" i="9"/>
  <c r="L470" i="9"/>
  <c r="L475" i="9"/>
  <c r="L458" i="9"/>
  <c r="L400" i="9"/>
  <c r="L478" i="9"/>
  <c r="L423" i="9"/>
  <c r="L461" i="9"/>
  <c r="L406" i="9"/>
  <c r="L444" i="9"/>
  <c r="L415" i="9"/>
  <c r="L468" i="9"/>
  <c r="L452" i="9"/>
  <c r="L474" i="9"/>
  <c r="L425" i="9"/>
  <c r="L466" i="9"/>
  <c r="L464" i="9"/>
  <c r="L409" i="9"/>
  <c r="L447" i="9"/>
  <c r="L430" i="9"/>
  <c r="L401" i="9"/>
  <c r="L454" i="9"/>
  <c r="L431" i="9"/>
  <c r="L460" i="9"/>
  <c r="L451" i="9"/>
  <c r="L434" i="9"/>
  <c r="L417" i="9"/>
  <c r="L445" i="9"/>
  <c r="L441" i="9"/>
  <c r="L476" i="9"/>
  <c r="L420" i="9"/>
  <c r="L472" i="9"/>
  <c r="L403" i="9"/>
  <c r="L427" i="9"/>
  <c r="L455" i="9"/>
  <c r="L480" i="9"/>
  <c r="L442" i="9"/>
  <c r="L479" i="9"/>
  <c r="L424" i="9"/>
  <c r="L462" i="9"/>
  <c r="L407" i="9"/>
  <c r="L459" i="9"/>
  <c r="L139" i="9"/>
  <c r="L318" i="9"/>
  <c r="L92" i="9"/>
  <c r="L131" i="9"/>
  <c r="L208" i="9"/>
  <c r="L301" i="9"/>
  <c r="L392" i="9"/>
  <c r="L151" i="9"/>
  <c r="L67" i="9"/>
  <c r="L48" i="9"/>
  <c r="L212" i="9"/>
  <c r="L331" i="9"/>
  <c r="L384" i="9"/>
  <c r="L181" i="9"/>
  <c r="L6" i="9"/>
  <c r="L311" i="9"/>
  <c r="L337" i="9"/>
  <c r="L373" i="9"/>
  <c r="L43" i="9"/>
  <c r="L206" i="9"/>
  <c r="L282" i="9"/>
  <c r="L307" i="9"/>
  <c r="L180" i="9"/>
  <c r="L135" i="9"/>
  <c r="L354" i="9"/>
  <c r="L33" i="9"/>
  <c r="L281" i="9"/>
  <c r="L390" i="9"/>
  <c r="L239" i="9"/>
  <c r="L245" i="9"/>
  <c r="L129" i="9"/>
  <c r="L123" i="9"/>
  <c r="L179" i="9"/>
  <c r="L94" i="9"/>
  <c r="L36" i="9"/>
  <c r="L51" i="9"/>
  <c r="L198" i="9"/>
  <c r="L232" i="9"/>
  <c r="L357" i="9"/>
  <c r="L39" i="9"/>
  <c r="L98" i="9"/>
  <c r="L256" i="9"/>
  <c r="L8" i="9"/>
  <c r="L341" i="9"/>
  <c r="L59" i="9"/>
  <c r="L19" i="9"/>
  <c r="L24" i="9"/>
  <c r="L144" i="9"/>
  <c r="L41" i="9"/>
  <c r="L248" i="9"/>
  <c r="L160" i="9"/>
  <c r="L114" i="9"/>
  <c r="L69" i="9"/>
  <c r="L2" i="9"/>
  <c r="L120" i="9"/>
  <c r="L219" i="9"/>
  <c r="L30" i="9"/>
  <c r="L64" i="9"/>
  <c r="L87" i="9"/>
  <c r="L13" i="9"/>
  <c r="L46" i="9"/>
  <c r="L192" i="9"/>
  <c r="L140" i="9"/>
  <c r="L293" i="9"/>
  <c r="L89" i="9"/>
  <c r="L191" i="9"/>
  <c r="L193" i="9"/>
  <c r="L165" i="9"/>
  <c r="L269" i="9"/>
  <c r="L218" i="9"/>
  <c r="L116" i="9"/>
  <c r="L320" i="9"/>
  <c r="L194" i="9"/>
  <c r="L389" i="9"/>
  <c r="L298" i="9"/>
  <c r="L334" i="9"/>
  <c r="L370" i="9"/>
  <c r="L279" i="9"/>
  <c r="L315" i="9"/>
  <c r="L351" i="9"/>
  <c r="L387" i="9"/>
  <c r="L207" i="9"/>
  <c r="L246" i="9"/>
  <c r="L265" i="9"/>
  <c r="L285" i="9"/>
  <c r="L96" i="9"/>
  <c r="L317" i="9"/>
  <c r="L379" i="9"/>
  <c r="L174" i="9"/>
  <c r="L255" i="9"/>
  <c r="L274" i="9"/>
  <c r="L382" i="9"/>
  <c r="L399" i="9"/>
  <c r="L102" i="9"/>
  <c r="L12" i="9"/>
  <c r="L90" i="9"/>
  <c r="L11" i="9"/>
  <c r="L44" i="9"/>
  <c r="L264" i="9"/>
  <c r="L214" i="9"/>
  <c r="L26" i="9"/>
  <c r="L60" i="9"/>
  <c r="L127" i="9"/>
  <c r="L122" i="9"/>
  <c r="L104" i="9"/>
  <c r="L332" i="9"/>
  <c r="L278" i="9"/>
  <c r="L259" i="9"/>
  <c r="L109" i="9"/>
  <c r="L347" i="9"/>
  <c r="L187" i="9"/>
  <c r="L287" i="9"/>
  <c r="L368" i="9"/>
  <c r="L277" i="9"/>
  <c r="L313" i="9"/>
  <c r="L349" i="9"/>
  <c r="L385" i="9"/>
  <c r="L294" i="9"/>
  <c r="L330" i="9"/>
  <c r="L366" i="9"/>
  <c r="L91" i="9"/>
  <c r="L395" i="9"/>
  <c r="L54" i="9"/>
  <c r="L213" i="9"/>
  <c r="L343" i="9"/>
  <c r="L396" i="9"/>
  <c r="L118" i="9"/>
  <c r="L23" i="9"/>
  <c r="L233" i="9"/>
  <c r="L346" i="9"/>
  <c r="L327" i="9"/>
  <c r="L15" i="9"/>
  <c r="L22" i="9"/>
  <c r="L97" i="9"/>
  <c r="L47" i="9"/>
  <c r="L225" i="9"/>
  <c r="L29" i="9"/>
  <c r="L63" i="9"/>
  <c r="L153" i="9"/>
  <c r="L159" i="9"/>
  <c r="L107" i="9"/>
  <c r="L112" i="9"/>
  <c r="L296" i="9"/>
  <c r="L261" i="9"/>
  <c r="L121" i="9"/>
  <c r="L350" i="9"/>
  <c r="L205" i="9"/>
  <c r="L305" i="9"/>
  <c r="L371" i="9"/>
  <c r="L280" i="9"/>
  <c r="L316" i="9"/>
  <c r="L352" i="9"/>
  <c r="L388" i="9"/>
  <c r="L297" i="9"/>
  <c r="L333" i="9"/>
  <c r="L369" i="9"/>
  <c r="L40" i="9"/>
  <c r="L99" i="9"/>
  <c r="L221" i="9"/>
  <c r="L142" i="9"/>
  <c r="L321" i="9"/>
  <c r="L62" i="9"/>
  <c r="L124" i="9"/>
  <c r="L253" i="9"/>
  <c r="L398" i="9"/>
  <c r="L324" i="9"/>
  <c r="L42" i="9"/>
  <c r="L101" i="9"/>
  <c r="L260" i="9"/>
  <c r="L310" i="9"/>
  <c r="L291" i="9"/>
  <c r="L363" i="9"/>
  <c r="L56" i="9"/>
  <c r="L68" i="9"/>
  <c r="L199" i="9"/>
  <c r="L14" i="9"/>
  <c r="L9" i="9"/>
  <c r="L31" i="9"/>
  <c r="L5" i="9"/>
  <c r="L241" i="9"/>
  <c r="L106" i="9"/>
  <c r="L16" i="9"/>
  <c r="L49" i="9"/>
  <c r="L270" i="9"/>
  <c r="L32" i="9"/>
  <c r="L66" i="9"/>
  <c r="L262" i="9"/>
  <c r="L201" i="9"/>
  <c r="L117" i="9"/>
  <c r="L125" i="9"/>
  <c r="L314" i="9"/>
  <c r="L338" i="9"/>
  <c r="L134" i="9"/>
  <c r="L353" i="9"/>
  <c r="L220" i="9"/>
  <c r="L323" i="9"/>
  <c r="L374" i="9"/>
  <c r="L283" i="9"/>
  <c r="L319" i="9"/>
  <c r="L355" i="9"/>
  <c r="L391" i="9"/>
  <c r="L300" i="9"/>
  <c r="L336" i="9"/>
  <c r="L372" i="9"/>
  <c r="L299" i="9"/>
  <c r="L376" i="9"/>
  <c r="L65" i="9"/>
  <c r="L234" i="9"/>
  <c r="L57" i="9"/>
  <c r="L172" i="9"/>
  <c r="L128" i="9"/>
  <c r="L108" i="9"/>
  <c r="L35" i="9"/>
  <c r="L137" i="9"/>
  <c r="L335" i="9"/>
  <c r="L235" i="9"/>
  <c r="L152" i="9"/>
  <c r="L356" i="9"/>
  <c r="L247" i="9"/>
  <c r="L138" i="9"/>
  <c r="L377" i="9"/>
  <c r="L286" i="9"/>
  <c r="L322" i="9"/>
  <c r="L358" i="9"/>
  <c r="L394" i="9"/>
  <c r="L303" i="9"/>
  <c r="L339" i="9"/>
  <c r="L375" i="9"/>
  <c r="L266" i="9"/>
  <c r="L18" i="9"/>
  <c r="L226" i="9"/>
  <c r="L304" i="9"/>
  <c r="L393" i="9"/>
  <c r="L50" i="9"/>
  <c r="L20" i="9"/>
  <c r="L154" i="9"/>
  <c r="L115" i="9"/>
  <c r="L258" i="9"/>
  <c r="L52" i="9"/>
  <c r="L186" i="9"/>
  <c r="L254" i="9"/>
  <c r="L130" i="9"/>
  <c r="L25" i="9"/>
  <c r="L308" i="9"/>
  <c r="L53" i="9"/>
  <c r="L88" i="9"/>
  <c r="L133" i="9"/>
  <c r="L21" i="9"/>
  <c r="L55" i="9"/>
  <c r="L126" i="9"/>
  <c r="L4" i="9"/>
  <c r="L38" i="9"/>
  <c r="L268" i="9"/>
  <c r="L143" i="9"/>
  <c r="L145" i="9"/>
  <c r="L119" i="9"/>
  <c r="L240" i="9"/>
  <c r="L167" i="9"/>
  <c r="L359" i="9"/>
  <c r="L252" i="9"/>
  <c r="L146" i="9"/>
  <c r="L380" i="9"/>
  <c r="L289" i="9"/>
  <c r="L325" i="9"/>
  <c r="L361" i="9"/>
  <c r="L397" i="9"/>
  <c r="L306" i="9"/>
  <c r="L342" i="9"/>
  <c r="L378" i="9"/>
  <c r="L272" i="9"/>
  <c r="L329" i="9"/>
  <c r="L227" i="9"/>
  <c r="L326" i="9"/>
  <c r="L271" i="9"/>
  <c r="L288" i="9"/>
  <c r="L166" i="9"/>
  <c r="L257" i="9"/>
  <c r="L17" i="9"/>
  <c r="L34" i="9"/>
  <c r="L141" i="9"/>
  <c r="L7" i="9"/>
  <c r="L105" i="9"/>
  <c r="L132" i="9"/>
  <c r="L263" i="9"/>
  <c r="L185" i="9"/>
  <c r="L362" i="9"/>
  <c r="L284" i="9"/>
  <c r="L164" i="9"/>
  <c r="L383" i="9"/>
  <c r="L292" i="9"/>
  <c r="L328" i="9"/>
  <c r="L364" i="9"/>
  <c r="L273" i="9"/>
  <c r="L309" i="9"/>
  <c r="L345" i="9"/>
  <c r="L381" i="9"/>
  <c r="L95" i="9"/>
  <c r="L340" i="9"/>
  <c r="L110" i="9"/>
  <c r="L228" i="9"/>
  <c r="L360" i="9"/>
  <c r="L290" i="9"/>
  <c r="L111" i="9"/>
  <c r="L344" i="9"/>
  <c r="L37" i="9"/>
  <c r="L3" i="9"/>
  <c r="L93" i="9"/>
  <c r="L58" i="9"/>
  <c r="L103" i="9"/>
  <c r="L158" i="9"/>
  <c r="L45" i="9"/>
  <c r="L28" i="9"/>
  <c r="L100" i="9"/>
  <c r="L171" i="9"/>
  <c r="L27" i="9"/>
  <c r="L61" i="9"/>
  <c r="L10" i="9"/>
  <c r="L136" i="9"/>
  <c r="L113" i="9"/>
  <c r="L275" i="9"/>
  <c r="L86" i="9"/>
  <c r="L173" i="9"/>
  <c r="L178" i="9"/>
  <c r="L147" i="9"/>
  <c r="L267" i="9"/>
  <c r="L200" i="9"/>
  <c r="L365" i="9"/>
  <c r="L302" i="9"/>
  <c r="L386" i="9"/>
  <c r="L295" i="9"/>
  <c r="L367" i="9"/>
  <c r="L276" i="9"/>
  <c r="L312" i="9"/>
  <c r="L34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<sst xmlns="http://schemas.openxmlformats.org/spreadsheetml/2006/main" count="6093" uniqueCount="1560">
  <si>
    <t>Status</t>
  </si>
  <si>
    <t>DV_LoadSource</t>
  </si>
  <si>
    <t>ACTIVE</t>
  </si>
  <si>
    <t>SELF1RM</t>
  </si>
  <si>
    <t>ARCHIVED</t>
  </si>
  <si>
    <t>REF1RM</t>
  </si>
  <si>
    <t>PLANNED</t>
  </si>
  <si>
    <t>FIXED</t>
  </si>
  <si>
    <t>Field</t>
  </si>
  <si>
    <t>Notes</t>
  </si>
  <si>
    <t>Purpose</t>
  </si>
  <si>
    <t>Portable baseline &amp; gap tracker for Masters 40–44 CrossFit AI coach.</t>
  </si>
  <si>
    <t>How to use</t>
  </si>
  <si>
    <t>Enter new results in BenchmarkResults (one row per test). GapAnalysis auto-updates. You can add benchmarks/targets in Benchmarks.</t>
  </si>
  <si>
    <t>Key tabs</t>
  </si>
  <si>
    <t>Benchmarks, BenchmarkResults, GapAnalysis, ReadinessDaily, Sessions, SetsPerformed, Movements, Milestones, PlanRules.</t>
  </si>
  <si>
    <t>Conventions</t>
  </si>
  <si>
    <t>Dates = ISO (YYYY-MM-DD). ScoreType=time|reps|load. BetterIs=Lower or Higher. Units kept simple (kg, s, reps).</t>
  </si>
  <si>
    <t>Next steps</t>
  </si>
  <si>
    <t>Run missing tests over 7 days. Log results. Review GapAnalysis to set priorities.</t>
  </si>
  <si>
    <t>BenchmarkID</t>
  </si>
  <si>
    <t>Name</t>
  </si>
  <si>
    <t>Domain</t>
  </si>
  <si>
    <t>ScoreType</t>
  </si>
  <si>
    <t>Unit</t>
  </si>
  <si>
    <t>Target_40_44</t>
  </si>
  <si>
    <t>BetterIs</t>
  </si>
  <si>
    <t>BW_AIRSQUAT</t>
  </si>
  <si>
    <t>Air Squats Unbroken</t>
  </si>
  <si>
    <t>reps</t>
  </si>
  <si>
    <t>Higher</t>
  </si>
  <si>
    <t>Below parallel</t>
  </si>
  <si>
    <t>BW_PUSHUP</t>
  </si>
  <si>
    <t>Push-Ups Unbroken</t>
  </si>
  <si>
    <t>Full ROM, unbroken</t>
  </si>
  <si>
    <t>ENG_BURPEE</t>
  </si>
  <si>
    <t>Burpees Unbroken</t>
  </si>
  <si>
    <t>Steady pace</t>
  </si>
  <si>
    <t>ENG_DU_UB</t>
  </si>
  <si>
    <t>Double-Unders Unbroken</t>
  </si>
  <si>
    <t>Under fatigue later</t>
  </si>
  <si>
    <t>ENG_ROW_2K</t>
  </si>
  <si>
    <t>Row 2,000 m</t>
  </si>
  <si>
    <t>time</t>
  </si>
  <si>
    <t>s</t>
  </si>
  <si>
    <t>Lower</t>
  </si>
  <si>
    <t>7:30 target</t>
  </si>
  <si>
    <t>ENG_ROW_500M</t>
  </si>
  <si>
    <t>Row 500 m</t>
  </si>
  <si>
    <t>1:30 target</t>
  </si>
  <si>
    <t>ENG_ROW_5KM</t>
  </si>
  <si>
    <t>5km Row time</t>
  </si>
  <si>
    <t>ENG_RUN_1MI</t>
  </si>
  <si>
    <t>Run 1 Mile</t>
  </si>
  <si>
    <t>Flat course</t>
  </si>
  <si>
    <t>ENG_RUN_5KM</t>
  </si>
  <si>
    <t>5km run time</t>
  </si>
  <si>
    <t>EQ_BOX</t>
  </si>
  <si>
    <t>Box Jump</t>
  </si>
  <si>
    <t>height</t>
  </si>
  <si>
    <t>cm</t>
  </si>
  <si>
    <t>EQ_DB</t>
  </si>
  <si>
    <t>Dumbbell (per hand)</t>
  </si>
  <si>
    <t>load</t>
  </si>
  <si>
    <t>kg</t>
  </si>
  <si>
    <t>EQ_KB</t>
  </si>
  <si>
    <t>Kettlebell Swing</t>
  </si>
  <si>
    <t>EQ_WB</t>
  </si>
  <si>
    <t>Wall Ball</t>
  </si>
  <si>
    <t>GYM_BMU_STR</t>
  </si>
  <si>
    <t>Strict Bar Muscle Up</t>
  </si>
  <si>
    <t>GYM_BMU_UB</t>
  </si>
  <si>
    <t>Bar Muscle-Ups</t>
  </si>
  <si>
    <t>GYM_C2W_HOLD</t>
  </si>
  <si>
    <t>Chest-to-wall Handstand Hold</t>
  </si>
  <si>
    <t>GYM_CTB_UB</t>
  </si>
  <si>
    <t>Chest-to-Bar Pull-Ups</t>
  </si>
  <si>
    <t>GYM_DIP_STR</t>
  </si>
  <si>
    <t>Strict Ring Dips Unbroken</t>
  </si>
  <si>
    <t>Lockout, stable rings</t>
  </si>
  <si>
    <t>GYM_HSPU_KIP</t>
  </si>
  <si>
    <t>Kipping Handstand Push-Ups</t>
  </si>
  <si>
    <t>GYM_HSW_DIST</t>
  </si>
  <si>
    <t>Handstand Walk Unbroken</t>
  </si>
  <si>
    <t>distance</t>
  </si>
  <si>
    <t>m</t>
  </si>
  <si>
    <t>Basic obstacle later</t>
  </si>
  <si>
    <t>GYM_HSW_DIST_FAT</t>
  </si>
  <si>
    <t>Handstand Walk distance under fatigue</t>
  </si>
  <si>
    <t>GYM_PISTOL_STR</t>
  </si>
  <si>
    <t>Unassisted Pistol Squats</t>
  </si>
  <si>
    <t>Unbroken</t>
  </si>
  <si>
    <t>GYM_PULLUP_KIP</t>
  </si>
  <si>
    <t>Kipping Pull-Ups</t>
  </si>
  <si>
    <t>GYM_PULLUP_STR</t>
  </si>
  <si>
    <t>Strict Pull-Ups Unbroken</t>
  </si>
  <si>
    <t>Strict, unassisted</t>
  </si>
  <si>
    <t>GYM_RMU_STR</t>
  </si>
  <si>
    <t>Strict Ring Muscle-Ups</t>
  </si>
  <si>
    <t>Full lockout</t>
  </si>
  <si>
    <t>GYM_RMU_UB</t>
  </si>
  <si>
    <t>Ring Muscle-Ups Unbroken</t>
  </si>
  <si>
    <t>GYM_ROPECLIMB</t>
  </si>
  <si>
    <t>Rope Climb</t>
  </si>
  <si>
    <t>ascents</t>
  </si>
  <si>
    <t>GYM_ROPECLIMB_STR</t>
  </si>
  <si>
    <t>Legless Rope Climbs</t>
  </si>
  <si>
    <t>15 ft standard</t>
  </si>
  <si>
    <t>GYM_SHSPU_UB</t>
  </si>
  <si>
    <t>Strict Handstand Push-Ups × max reps</t>
  </si>
  <si>
    <t>GYM_TTB</t>
  </si>
  <si>
    <t>Toes-to-Bar</t>
  </si>
  <si>
    <t>GYM_WALLWALK</t>
  </si>
  <si>
    <t>Wall Walks</t>
  </si>
  <si>
    <t>Games standard</t>
  </si>
  <si>
    <t>LIFT_BENCH_5RM</t>
  </si>
  <si>
    <t>Bench Press 5RM</t>
  </si>
  <si>
    <t>Support/upper body strength proxy</t>
  </si>
  <si>
    <t>LIFT_BENCH_1RM</t>
  </si>
  <si>
    <t>Bench Press 1RM</t>
  </si>
  <si>
    <t>LIFT_BS_1RM</t>
  </si>
  <si>
    <t>Back Squat 1RM</t>
  </si>
  <si>
    <t>LIFT_BS_5RM</t>
  </si>
  <si>
    <t>Back Squat @ 70% 1RM × max reps</t>
  </si>
  <si>
    <t>LIFT_BSS_5RM</t>
  </si>
  <si>
    <t>Bulgarian Split Squat 5RM (per side)</t>
  </si>
  <si>
    <t>LIFT_CJ_1RM</t>
  </si>
  <si>
    <t>Clean &amp; Jerk 1RM</t>
  </si>
  <si>
    <t>LIFT_CLEAN_1RM</t>
  </si>
  <si>
    <t>Clean 1RM</t>
  </si>
  <si>
    <t>LIFT_JERK_1RM</t>
  </si>
  <si>
    <t>Jerk 1RM</t>
  </si>
  <si>
    <t>LIFT_DL_1RM</t>
  </si>
  <si>
    <t>Deadlift 1RM</t>
  </si>
  <si>
    <t>LIFT_FS_1RM</t>
  </si>
  <si>
    <t>Front Squat 1RM</t>
  </si>
  <si>
    <t>LIFT_SNATCH_1RM</t>
  </si>
  <si>
    <t>Snatch 1RM</t>
  </si>
  <si>
    <t>Masters 40–44 provisional target; refine later</t>
  </si>
  <si>
    <t>LIFT_PSNATCH_1RM</t>
  </si>
  <si>
    <t>Power Snatch 1RM</t>
  </si>
  <si>
    <t>LIFT_OHS_1RM</t>
  </si>
  <si>
    <t>Overhead Squat 1RM</t>
  </si>
  <si>
    <t>LIFT_OHP_1RM</t>
  </si>
  <si>
    <t>Overhead Press 1RM</t>
  </si>
  <si>
    <t>MET_AMRAP12</t>
  </si>
  <si>
    <t>12-min AMRAP (Row/BurpeeOBar/PC 95)</t>
  </si>
  <si>
    <t>MET_AMRAP20</t>
  </si>
  <si>
    <t>20-min AMRAP (Row/WB 9kg/BJO 24")</t>
  </si>
  <si>
    <t>MET_CINDY</t>
  </si>
  <si>
    <t>Cindy</t>
  </si>
  <si>
    <t>MET_FRAN</t>
  </si>
  <si>
    <t>Fran (95 lb thruster + pull-ups)</t>
  </si>
  <si>
    <t>3:15 target</t>
  </si>
  <si>
    <t>MET_MURPH</t>
  </si>
  <si>
    <t>Murph</t>
  </si>
  <si>
    <t>WL_DL_5-10</t>
  </si>
  <si>
    <t>Deadlift 70% 1RM</t>
  </si>
  <si>
    <t>WL_FS_5-10</t>
  </si>
  <si>
    <t>Front Squat 70% 1RM</t>
  </si>
  <si>
    <t>WL_OHS_5-10</t>
  </si>
  <si>
    <t>Overhead Squat 70% 1RM</t>
  </si>
  <si>
    <t>WL_POWCLN_5-10</t>
  </si>
  <si>
    <t>Power Clean</t>
  </si>
  <si>
    <t>WL_POWSN_5-10</t>
  </si>
  <si>
    <t>Power Snatch</t>
  </si>
  <si>
    <t>WL_SDHP_5-10</t>
  </si>
  <si>
    <t>Sumo Deadlift High Pull</t>
  </si>
  <si>
    <t>WL_STO_5-10</t>
  </si>
  <si>
    <t>Shoulder-to-Overhead</t>
  </si>
  <si>
    <t>WL_THR_5-10</t>
  </si>
  <si>
    <t>Thruster</t>
  </si>
  <si>
    <t>MET_ISABEL</t>
  </si>
  <si>
    <t>30 Snatches (61kg)</t>
  </si>
  <si>
    <t>3:00-4:00mins</t>
  </si>
  <si>
    <t>MET_GRACE</t>
  </si>
  <si>
    <t>Benchmark</t>
  </si>
  <si>
    <t>Standard</t>
  </si>
  <si>
    <t>Level 1</t>
  </si>
  <si>
    <t>Level 1 Met</t>
  </si>
  <si>
    <t>Level 2</t>
  </si>
  <si>
    <t>Level 2 Met</t>
  </si>
  <si>
    <t>Elite</t>
  </si>
  <si>
    <t>Elite Met</t>
  </si>
  <si>
    <t>Units</t>
  </si>
  <si>
    <t>Broad jump</t>
  </si>
  <si>
    <t>Standing broad jump</t>
  </si>
  <si>
    <t>≥ your height</t>
  </si>
  <si>
    <t>≥ height + 1 ft (0.30 m)</t>
  </si>
  <si>
    <t>≥ height + 2 ft (0.61 m)</t>
  </si>
  <si>
    <t>ft / m</t>
  </si>
  <si>
    <t>Measure best of 2 attempts</t>
  </si>
  <si>
    <t>Bodyweight bench press</t>
  </si>
  <si>
    <t>Unbroken reps @ bodyweight</t>
  </si>
  <si>
    <t>Full ROM, no bounce</t>
  </si>
  <si>
    <t>Pull-ups (strict)</t>
  </si>
  <si>
    <t>Pronated grip, unbroken</t>
  </si>
  <si>
    <t>Chin over bar, dead-hang start</t>
  </si>
  <si>
    <t>Farmer’s carry</t>
  </si>
  <si>
    <t>For distance</t>
  </si>
  <si>
    <t>200 ft (60.96 m)</t>
  </si>
  <si>
    <t>250 ft (76.20 m)</t>
  </si>
  <si>
    <t>300 ft (91.44 m)</t>
  </si>
  <si>
    <t>Load: TBD; note implement and weight</t>
  </si>
  <si>
    <t>Trap-bar deadlift</t>
  </si>
  <si>
    <t>5 clean reps</t>
  </si>
  <si>
    <t>1.5× BW</t>
  </si>
  <si>
    <t>Yes</t>
  </si>
  <si>
    <t>2.0× BW</t>
  </si>
  <si>
    <t>2.5× BW</t>
  </si>
  <si>
    <t>multiple of BW</t>
  </si>
  <si>
    <t>No straps, full lockout</t>
  </si>
  <si>
    <t>800 m run</t>
  </si>
  <si>
    <t>Timed</t>
  </si>
  <si>
    <t>mm:ss</t>
  </si>
  <si>
    <t>Track or measured path; flats</t>
  </si>
  <si>
    <t>ResultID</t>
  </si>
  <si>
    <t>Date</t>
  </si>
  <si>
    <t>Score</t>
  </si>
  <si>
    <t>Scaling</t>
  </si>
  <si>
    <t>RES_SNATCH_1RM_1</t>
  </si>
  <si>
    <t>2025-08-14</t>
  </si>
  <si>
    <t>RX</t>
  </si>
  <si>
    <t>Mobility/technique limiter</t>
  </si>
  <si>
    <t>RES_PSNATCH_5RM_1</t>
  </si>
  <si>
    <t>Power 5RM proxy</t>
  </si>
  <si>
    <t>Entered for context; main metric is 1RM = 55</t>
  </si>
  <si>
    <t>RES_CJ_1RM_1</t>
  </si>
  <si>
    <t>RES_FS_1RM_1</t>
  </si>
  <si>
    <t>2x2 @ 80 felt strong</t>
  </si>
  <si>
    <t>RES_DL_1RM_1</t>
  </si>
  <si>
    <t>Likely &gt;= for 3RM</t>
  </si>
  <si>
    <t>RES_BENCH_5RM_1</t>
  </si>
  <si>
    <t>Estimated</t>
  </si>
  <si>
    <t>RES_RMU_UB_1</t>
  </si>
  <si>
    <t>RES_DU_UB_1</t>
  </si>
  <si>
    <t>RES_HSW_1</t>
  </si>
  <si>
    <t>RES_ROW_500M_1</t>
  </si>
  <si>
    <t>1:40 = 100 s</t>
  </si>
  <si>
    <t>RES_ROW_2K_1</t>
  </si>
  <si>
    <t>9:00 = 540 s</t>
  </si>
  <si>
    <t>RES_FRAN_1</t>
  </si>
  <si>
    <t>RES_AMRAP12_1</t>
  </si>
  <si>
    <t>RES_AMRAP20_1</t>
  </si>
  <si>
    <t>RES_LIFT_BS_5RM</t>
  </si>
  <si>
    <t>Didn’t want to push harder than this</t>
  </si>
  <si>
    <t>RES_GYM_PULLUP_STR</t>
  </si>
  <si>
    <t>Maybe could have grinded one more out</t>
  </si>
  <si>
    <t>RES_GYM_SHSPU_UB</t>
  </si>
  <si>
    <t>Cant get back up but hit negatives</t>
  </si>
  <si>
    <t>RES_LIFT_BSS_5RM</t>
  </si>
  <si>
    <t>RES_LIFT_BS_1RM</t>
  </si>
  <si>
    <t>Park run Jindabyne</t>
  </si>
  <si>
    <t>MovementID</t>
  </si>
  <si>
    <t>MOV_BS</t>
  </si>
  <si>
    <t>MOV_FS</t>
  </si>
  <si>
    <t>MOV_BENCH</t>
  </si>
  <si>
    <t>MOV_DL</t>
  </si>
  <si>
    <t>MOV_OHS</t>
  </si>
  <si>
    <t>MOV_PCLEAN</t>
  </si>
  <si>
    <t>MOV_SNATCH</t>
  </si>
  <si>
    <t>MOV_CJ</t>
  </si>
  <si>
    <t>MOV_SHPRESS</t>
  </si>
  <si>
    <t>MOV_JERK</t>
  </si>
  <si>
    <t>MOV_CLEAN</t>
  </si>
  <si>
    <t>Modality</t>
  </si>
  <si>
    <t>Category</t>
  </si>
  <si>
    <t>LoadSource</t>
  </si>
  <si>
    <t>LoadRefMovementID</t>
  </si>
  <si>
    <t>DefaultPercentOfRef</t>
  </si>
  <si>
    <t>RoundingIncrement</t>
  </si>
  <si>
    <t>Snatch</t>
  </si>
  <si>
    <t>Barbell</t>
  </si>
  <si>
    <t>OLY</t>
  </si>
  <si>
    <t>Full snatch from floor</t>
  </si>
  <si>
    <t>MOV_PSNATCH</t>
  </si>
  <si>
    <t>MOV_HSNATCH</t>
  </si>
  <si>
    <t>Hang Snatch</t>
  </si>
  <si>
    <t>Mid-thigh or above knee</t>
  </si>
  <si>
    <t>Overhead Squat</t>
  </si>
  <si>
    <t>Strength</t>
  </si>
  <si>
    <t>Clean &amp; Jerk</t>
  </si>
  <si>
    <t>Full clean + split/power jerk</t>
  </si>
  <si>
    <t>MOV_HCLEAN</t>
  </si>
  <si>
    <t>Hang Clean</t>
  </si>
  <si>
    <t>MOV_SQCLN</t>
  </si>
  <si>
    <t>Squat Clean</t>
  </si>
  <si>
    <t>Full clean to front squat</t>
  </si>
  <si>
    <t>Split Jerk</t>
  </si>
  <si>
    <t>From rack</t>
  </si>
  <si>
    <t>MOV_PJERK</t>
  </si>
  <si>
    <t>Push Jerk</t>
  </si>
  <si>
    <t>MOV_PSHOUL</t>
  </si>
  <si>
    <t>Push Press</t>
  </si>
  <si>
    <t>Strict Press</t>
  </si>
  <si>
    <t>Overhead press</t>
  </si>
  <si>
    <t>MOV_FRONT_SQUAT</t>
  </si>
  <si>
    <t>Front Squat</t>
  </si>
  <si>
    <t>MOV_BACK_SQUAT</t>
  </si>
  <si>
    <t>Back Squat</t>
  </si>
  <si>
    <t>MOV_HBS</t>
  </si>
  <si>
    <t>High-Bar Back Squat</t>
  </si>
  <si>
    <t>MOV_LBS</t>
  </si>
  <si>
    <t>Low-Bar Back Squat</t>
  </si>
  <si>
    <t>MOV_DEADLIFT</t>
  </si>
  <si>
    <t>Deadlift</t>
  </si>
  <si>
    <t>Conventional</t>
  </si>
  <si>
    <t>MOV_SUMO_DL</t>
  </si>
  <si>
    <t>Sumo Deadlift</t>
  </si>
  <si>
    <t>MOV_ROMANIAN_DL</t>
  </si>
  <si>
    <t>Romanian Deadlift</t>
  </si>
  <si>
    <t>Accessory</t>
  </si>
  <si>
    <t>Bench Press</t>
  </si>
  <si>
    <t>Flat bench</t>
  </si>
  <si>
    <t>MOV_FLOORP</t>
  </si>
  <si>
    <t>Floor Press</t>
  </si>
  <si>
    <t>MOV_BENT_OVER_ROW</t>
  </si>
  <si>
    <t>Bent-Over Row</t>
  </si>
  <si>
    <t>MOV_BBCURL</t>
  </si>
  <si>
    <t>Barbell Curl</t>
  </si>
  <si>
    <t>MOV_THRUSTER</t>
  </si>
  <si>
    <t>Front squat into press</t>
  </si>
  <si>
    <t>MOV_BBJAM</t>
  </si>
  <si>
    <t>Barbell Jammer</t>
  </si>
  <si>
    <t>Landmine press</t>
  </si>
  <si>
    <t>MOV_BBSPLS</t>
  </si>
  <si>
    <t>Split Squat</t>
  </si>
  <si>
    <t>Rear foot on floor</t>
  </si>
  <si>
    <t>MOV_DBSN</t>
  </si>
  <si>
    <t>DB Snatch</t>
  </si>
  <si>
    <t>Dumbbell</t>
  </si>
  <si>
    <t>Single-arm</t>
  </si>
  <si>
    <t>MOV_DBCJ</t>
  </si>
  <si>
    <t>DB Clean &amp; Jerk</t>
  </si>
  <si>
    <t>Single-arm or alternating</t>
  </si>
  <si>
    <t>MOV_DBCLN</t>
  </si>
  <si>
    <t>DB Clean</t>
  </si>
  <si>
    <t>Single-arm or pair</t>
  </si>
  <si>
    <t>MOV_DBPP</t>
  </si>
  <si>
    <t>DB Push Press</t>
  </si>
  <si>
    <t>Pair</t>
  </si>
  <si>
    <t>MOV_DBSP</t>
  </si>
  <si>
    <t>DB Strict Press</t>
  </si>
  <si>
    <t>MOV_DBTHR</t>
  </si>
  <si>
    <t>DB Thruster</t>
  </si>
  <si>
    <t>MOV_DBGOB</t>
  </si>
  <si>
    <t>DB Goblet Squat</t>
  </si>
  <si>
    <t>MOV_DBSPLS</t>
  </si>
  <si>
    <t>DB Split Squat</t>
  </si>
  <si>
    <t>MOV_DBRDL</t>
  </si>
  <si>
    <t>DB Romanian Deadlift</t>
  </si>
  <si>
    <t>MOV_DBROW</t>
  </si>
  <si>
    <t>DB Row</t>
  </si>
  <si>
    <t>MOV_DBBSU</t>
  </si>
  <si>
    <t>DB Box Step-Up</t>
  </si>
  <si>
    <t>Specify box height in Notes</t>
  </si>
  <si>
    <t>MOV_DBWLK</t>
  </si>
  <si>
    <t>DB Walking Lunge</t>
  </si>
  <si>
    <t>Distance-based</t>
  </si>
  <si>
    <t>MOV_KBSN</t>
  </si>
  <si>
    <t>KB Snatch</t>
  </si>
  <si>
    <t>Kettlebell</t>
  </si>
  <si>
    <t>MOV_KBCLE</t>
  </si>
  <si>
    <t>KB Clean</t>
  </si>
  <si>
    <t>MOV_KBPP</t>
  </si>
  <si>
    <t>KB Push Press</t>
  </si>
  <si>
    <t>Single or double</t>
  </si>
  <si>
    <t>MOV_KBSP</t>
  </si>
  <si>
    <t>KB Strict Press</t>
  </si>
  <si>
    <t>MOV_KBFS</t>
  </si>
  <si>
    <t>KB Front Squat</t>
  </si>
  <si>
    <t>Double KB rack</t>
  </si>
  <si>
    <t>MOV_KBGOB</t>
  </si>
  <si>
    <t>KB Goblet Squat</t>
  </si>
  <si>
    <t>MOV_KBSW</t>
  </si>
  <si>
    <t>KB Swing (Russian)</t>
  </si>
  <si>
    <t>Engine</t>
  </si>
  <si>
    <t>Eye-level swing</t>
  </si>
  <si>
    <t>MOV_KBSW_A</t>
  </si>
  <si>
    <t>KB Swing (American)</t>
  </si>
  <si>
    <t>Overhead swing</t>
  </si>
  <si>
    <t>MOV_KBTGU</t>
  </si>
  <si>
    <t>Turkish Get-Up</t>
  </si>
  <si>
    <t>Skill</t>
  </si>
  <si>
    <t>Per side</t>
  </si>
  <si>
    <t>MOV_KBCARRY</t>
  </si>
  <si>
    <t>KB Front Rack Carry</t>
  </si>
  <si>
    <t>Distance carry</t>
  </si>
  <si>
    <t>MOV_PU</t>
  </si>
  <si>
    <t>Pull-Up</t>
  </si>
  <si>
    <t>Gymnastics</t>
  </si>
  <si>
    <t>Strict</t>
  </si>
  <si>
    <t>MOV_KIPPU</t>
  </si>
  <si>
    <t>Kipping Pull-Up</t>
  </si>
  <si>
    <t>MOV_C2B</t>
  </si>
  <si>
    <t>Chest-to-Bar Pull-Up</t>
  </si>
  <si>
    <t>MOV_BMU</t>
  </si>
  <si>
    <t>Bar Muscle-Up</t>
  </si>
  <si>
    <t>MOV_RMU</t>
  </si>
  <si>
    <t>Ring Muscle-Up</t>
  </si>
  <si>
    <t>MOV_TTB</t>
  </si>
  <si>
    <t>MOV_K2E</t>
  </si>
  <si>
    <t>Knees-to-Elbows</t>
  </si>
  <si>
    <t>MOV_HSPU</t>
  </si>
  <si>
    <t>Handstand Push-Up</t>
  </si>
  <si>
    <t>Wall</t>
  </si>
  <si>
    <t>MOV_HSW</t>
  </si>
  <si>
    <t>Handstand Walk</t>
  </si>
  <si>
    <t>Unbroken distance</t>
  </si>
  <si>
    <t>MOV_HOLD_HS</t>
  </si>
  <si>
    <t>Freestanding Handstand Hold</t>
  </si>
  <si>
    <t>sec</t>
  </si>
  <si>
    <t>MOV_PIST</t>
  </si>
  <si>
    <t>Pistol Squat</t>
  </si>
  <si>
    <t>Alternating single-leg</t>
  </si>
  <si>
    <t>MOV_DU</t>
  </si>
  <si>
    <t>Double-Unders</t>
  </si>
  <si>
    <t>Jump rope</t>
  </si>
  <si>
    <t>MOV_SU</t>
  </si>
  <si>
    <t>Single-Unders</t>
  </si>
  <si>
    <t>MOV_BURP</t>
  </si>
  <si>
    <t>Burpee</t>
  </si>
  <si>
    <t>MOV_BURB</t>
  </si>
  <si>
    <t>Burpee Box Jump</t>
  </si>
  <si>
    <t>Specify box height</t>
  </si>
  <si>
    <t>MOV_BURBOS</t>
  </si>
  <si>
    <t>Burpee Box Jump-Over</t>
  </si>
  <si>
    <t>No hip extension on top (comp dependent)</t>
  </si>
  <si>
    <t>MOV_SIT</t>
  </si>
  <si>
    <t>AbMat Sit-Up</t>
  </si>
  <si>
    <t>MOV_GHD_SU</t>
  </si>
  <si>
    <t>GHD Sit-Up</t>
  </si>
  <si>
    <t>MOV_GHD_HB</t>
  </si>
  <si>
    <t>GHD Hip Extension</t>
  </si>
  <si>
    <t>MOV_BACKEXT</t>
  </si>
  <si>
    <t>Back Extension</t>
  </si>
  <si>
    <t>Roman chair</t>
  </si>
  <si>
    <t>MOV_PLANK</t>
  </si>
  <si>
    <t>Plank Hold</t>
  </si>
  <si>
    <t>MOV_RPU</t>
  </si>
  <si>
    <t>Ring Push-Up</t>
  </si>
  <si>
    <t>MOV_DIP</t>
  </si>
  <si>
    <t>Ring Dip</t>
  </si>
  <si>
    <t>MOV_PDIP</t>
  </si>
  <si>
    <t>Parallel Bar Dip</t>
  </si>
  <si>
    <t>MOV_ROW1k</t>
  </si>
  <si>
    <t>Row 1</t>
  </si>
  <si>
    <t>000 M</t>
  </si>
  <si>
    <t>machine</t>
  </si>
  <si>
    <t>MOV_ROW500</t>
  </si>
  <si>
    <t>Machine</t>
  </si>
  <si>
    <t>Concept2 rower TT</t>
  </si>
  <si>
    <t>MOV_ROWCal</t>
  </si>
  <si>
    <t>Row For Calories</t>
  </si>
  <si>
    <t>cal</t>
  </si>
  <si>
    <t>For time or AMRAPs</t>
  </si>
  <si>
    <t>MOV_BIKEErg10k</t>
  </si>
  <si>
    <t>BikeErg 10</t>
  </si>
  <si>
    <t>MOV_BIKECal</t>
  </si>
  <si>
    <t>Assault/CT Bike Calories</t>
  </si>
  <si>
    <t>Any air bike</t>
  </si>
  <si>
    <t>MOV_SKI2k</t>
  </si>
  <si>
    <t>SkiErg 2</t>
  </si>
  <si>
    <t>MOV_SKICal</t>
  </si>
  <si>
    <t>SkiErg Calories</t>
  </si>
  <si>
    <t>MOV_RUN400</t>
  </si>
  <si>
    <t>Run 400 m</t>
  </si>
  <si>
    <t>Track or measured course</t>
  </si>
  <si>
    <t>MOV_RUN1k</t>
  </si>
  <si>
    <t>Run 1</t>
  </si>
  <si>
    <t>engine</t>
  </si>
  <si>
    <t>MOV_RUN5k</t>
  </si>
  <si>
    <t>Run 5 km</t>
  </si>
  <si>
    <t>Time trial</t>
  </si>
  <si>
    <t>MOV_RUN10k</t>
  </si>
  <si>
    <t>Run 10 km</t>
  </si>
  <si>
    <t>MOV_RUCK5k</t>
  </si>
  <si>
    <t>Ruck 5 km</t>
  </si>
  <si>
    <t>Specify load in Notes</t>
  </si>
  <si>
    <t>MOV_SWIM500</t>
  </si>
  <si>
    <t>Swim 500 m</t>
  </si>
  <si>
    <t>Pool or open water</t>
  </si>
  <si>
    <t>MOV_SWIM1k</t>
  </si>
  <si>
    <t>Swim 1</t>
  </si>
  <si>
    <t>MOV_SKIPH</t>
  </si>
  <si>
    <t>Shuttle Run 20 m (YoYo)</t>
  </si>
  <si>
    <t>Shuttles completed</t>
  </si>
  <si>
    <t>MOV_WALKOH</t>
  </si>
  <si>
    <t>Overhead Walking Lunge</t>
  </si>
  <si>
    <t>Overhead barbell</t>
  </si>
  <si>
    <t>MOV_SLED_P</t>
  </si>
  <si>
    <t>Sled Push</t>
  </si>
  <si>
    <t>Strongman</t>
  </si>
  <si>
    <t>MOV_SLED_D</t>
  </si>
  <si>
    <t>Sled Drag</t>
  </si>
  <si>
    <t>Backward/forward as noted</t>
  </si>
  <si>
    <t>MOV_YOKE</t>
  </si>
  <si>
    <t>Yoke Carry</t>
  </si>
  <si>
    <t>Specify load</t>
  </si>
  <si>
    <t>MOV_FARMER</t>
  </si>
  <si>
    <t>Farmer Carry</t>
  </si>
  <si>
    <t>Total distance</t>
  </si>
  <si>
    <t>MOV_ATLAS</t>
  </si>
  <si>
    <t>Atlas Stone to Shoulder</t>
  </si>
  <si>
    <t>Per rep load</t>
  </si>
  <si>
    <t>MOV_SAND_C</t>
  </si>
  <si>
    <t>Sandbag Clean</t>
  </si>
  <si>
    <t>Ground to shoulder</t>
  </si>
  <si>
    <t>MOV_SAND_OH</t>
  </si>
  <si>
    <t>Sandbag Over Shoulder</t>
  </si>
  <si>
    <t>For reps</t>
  </si>
  <si>
    <t>MOV_SAND_CARRY</t>
  </si>
  <si>
    <t>Sandbag Carry</t>
  </si>
  <si>
    <t>Front carry distance</t>
  </si>
  <si>
    <t>MOV_WB</t>
  </si>
  <si>
    <t>WALL BALL</t>
  </si>
  <si>
    <t>Medicine_Ball</t>
  </si>
  <si>
    <t>To 9/10 ft target (specify)</t>
  </si>
  <si>
    <t>MOV_MBCLR</t>
  </si>
  <si>
    <t>Med-Ball Clean</t>
  </si>
  <si>
    <t>Classic CF movement</t>
  </si>
  <si>
    <t>MOV_CTBL</t>
  </si>
  <si>
    <t>Chest-to-Bar Ladder</t>
  </si>
  <si>
    <t>Benchmark skill ladder</t>
  </si>
  <si>
    <t>MOV_PULL_ISO</t>
  </si>
  <si>
    <t>Chin-Over-Bar Hold</t>
  </si>
  <si>
    <t>Static hold</t>
  </si>
  <si>
    <t>MOV_LSIT</t>
  </si>
  <si>
    <t>L-Sit Hold</t>
  </si>
  <si>
    <t>Parallettes or rings</t>
  </si>
  <si>
    <t>MOV_HOLLOW</t>
  </si>
  <si>
    <t>Hollow Hold</t>
  </si>
  <si>
    <t>MOV_ARCH</t>
  </si>
  <si>
    <t>Arch Hold</t>
  </si>
  <si>
    <t>MOV_SNATCH_PULL</t>
  </si>
  <si>
    <t>Snatch Pull</t>
  </si>
  <si>
    <t>No turnover</t>
  </si>
  <si>
    <t>MOV_CLEAN_PULL</t>
  </si>
  <si>
    <t>Clean Pull</t>
  </si>
  <si>
    <t>MOV_HANG_PCLEAN</t>
  </si>
  <si>
    <t>Hang Power Clean</t>
  </si>
  <si>
    <t>MOV_HANG_PSNATCH</t>
  </si>
  <si>
    <t>Hang Power Snatch</t>
  </si>
  <si>
    <t>MOV_PAUSEFS</t>
  </si>
  <si>
    <t>Pause Front Squat</t>
  </si>
  <si>
    <t>1-3s pause at bottom</t>
  </si>
  <si>
    <t>MOV_PAUSEBS</t>
  </si>
  <si>
    <t>Pause Back Squat</t>
  </si>
  <si>
    <t>MOV_TEMPOFS</t>
  </si>
  <si>
    <t>Tempo Front Squat</t>
  </si>
  <si>
    <t>Specify tempo @ Notes</t>
  </si>
  <si>
    <t>MOV_TEMPOBS</t>
  </si>
  <si>
    <t>Tempo Back Squat</t>
  </si>
  <si>
    <t>MOV_DLDEF</t>
  </si>
  <si>
    <t>Deficit Deadlift</t>
  </si>
  <si>
    <t>2-4cm deficit</t>
  </si>
  <si>
    <t>MOV_BPPAUSE</t>
  </si>
  <si>
    <t>Paused Bench Press</t>
  </si>
  <si>
    <t>1-2s chest pause</t>
  </si>
  <si>
    <t>MOV_INCBENCH</t>
  </si>
  <si>
    <t>Incline Bench Press</t>
  </si>
  <si>
    <t>MOV_RPUP</t>
  </si>
  <si>
    <t>Push-Up</t>
  </si>
  <si>
    <t>MOV_HRPU</t>
  </si>
  <si>
    <t>Hand-Release Push-Up</t>
  </si>
  <si>
    <t>MOV_SPU</t>
  </si>
  <si>
    <t>Shoulder Tap Push-Up</t>
  </si>
  <si>
    <t>MOV_DIPSUP</t>
  </si>
  <si>
    <t>Dip Support Hold</t>
  </si>
  <si>
    <t>MOV_CJ_COMPLEX</t>
  </si>
  <si>
    <t>Clean + Jerk Complex</t>
  </si>
  <si>
    <t>Note rep scheme</t>
  </si>
  <si>
    <t>MOV_SN_COMPLEX</t>
  </si>
  <si>
    <t>Snatch Complex</t>
  </si>
  <si>
    <t>MOV_BOXJ</t>
  </si>
  <si>
    <t>Plyometric</t>
  </si>
  <si>
    <t>Specify height</t>
  </si>
  <si>
    <t>MOV_BJSTEP</t>
  </si>
  <si>
    <t>Box Jump-Over</t>
  </si>
  <si>
    <t>MOV_BSTEP</t>
  </si>
  <si>
    <t>Box Step-Up</t>
  </si>
  <si>
    <t>MOV_VJUMP</t>
  </si>
  <si>
    <t>Vertical Jump</t>
  </si>
  <si>
    <t>Max height test</t>
  </si>
  <si>
    <t>MOV_ROPECL</t>
  </si>
  <si>
    <t>Standard 15 ft</t>
  </si>
  <si>
    <t>MOV_ROPECL_L</t>
  </si>
  <si>
    <t>Legless Rope Climb</t>
  </si>
  <si>
    <t>15 ft</t>
  </si>
  <si>
    <t>MOV_TGU_DB</t>
  </si>
  <si>
    <t>Turkish Get-Up (DB)</t>
  </si>
  <si>
    <t>MOV_WALKINGLUNGE</t>
  </si>
  <si>
    <t>Walking Lunge</t>
  </si>
  <si>
    <t>Bodyweight</t>
  </si>
  <si>
    <t>Unloaded</t>
  </si>
  <si>
    <t>MOV_CALSIT</t>
  </si>
  <si>
    <t>Cal Bike For Time</t>
  </si>
  <si>
    <t>100/50 cals time trial</t>
  </si>
  <si>
    <t>MOV_CALSKI</t>
  </si>
  <si>
    <t>SkiErg Calories For Time</t>
  </si>
  <si>
    <t>Specify target</t>
  </si>
  <si>
    <t>MOV_HPCJ</t>
  </si>
  <si>
    <t>Hang Power Clean &amp; Jerk</t>
  </si>
  <si>
    <t>MOV_CLUSTER</t>
  </si>
  <si>
    <t>Cluster</t>
  </si>
  <si>
    <t>Squat clean thruster</t>
  </si>
  <si>
    <t>MOV_PBAR_TR</t>
  </si>
  <si>
    <t>P-Bar Traverse</t>
  </si>
  <si>
    <t>Distance covered</t>
  </si>
  <si>
    <t>MOV_PEGBOARD</t>
  </si>
  <si>
    <t>Pegboard Ascent</t>
  </si>
  <si>
    <t>Number of ascents</t>
  </si>
  <si>
    <t>MOV_DLHS</t>
  </si>
  <si>
    <t>Deadlift + Handstand Push-Up</t>
  </si>
  <si>
    <t>Pairing tag (optional)</t>
  </si>
  <si>
    <t>MOV_TTBKIP</t>
  </si>
  <si>
    <t>Toes-to-Bar (Strict)</t>
  </si>
  <si>
    <t>Strict variation</t>
  </si>
  <si>
    <t>MOV_ROW2k</t>
  </si>
  <si>
    <t>Row 2</t>
  </si>
  <si>
    <t>MOV_RUN2k</t>
  </si>
  <si>
    <t>Run 2 km</t>
  </si>
  <si>
    <t>MOV_SKI1k</t>
  </si>
  <si>
    <t>SkiErg 1</t>
  </si>
  <si>
    <t>MOV_BIKE20k</t>
  </si>
  <si>
    <t>Bike 20 km (Erg)</t>
  </si>
  <si>
    <t>Concept2 BikeErg TT</t>
  </si>
  <si>
    <t>MOV_MOB_ANK</t>
  </si>
  <si>
    <t>Ankle Dorsiflexion Stretch</t>
  </si>
  <si>
    <t>Mobility</t>
  </si>
  <si>
    <t>Per side hold</t>
  </si>
  <si>
    <t>MOV_MOB_HIP</t>
  </si>
  <si>
    <t>Hip Flexor Stretch</t>
  </si>
  <si>
    <t>MOV_MOB_TSP</t>
  </si>
  <si>
    <t>Thoracic Spine Opener</t>
  </si>
  <si>
    <t>Foam roller</t>
  </si>
  <si>
    <t>MOV_HSPU_ECC</t>
  </si>
  <si>
    <t>Handstand Push-Up (Eccentric)</t>
  </si>
  <si>
    <t>Controlled negatives 5-7 sec</t>
  </si>
  <si>
    <t>MOV_PIKE_DEF</t>
  </si>
  <si>
    <t>Deficit Pike Push-Up</t>
  </si>
  <si>
    <t>Feet on box; ROM builder</t>
  </si>
  <si>
    <t>MOV_HSPU_PARTIAL</t>
  </si>
  <si>
    <t>Partial ROM Handstand Push-Up</t>
  </si>
  <si>
    <t>Use abmat/block to reduce ROM</t>
  </si>
  <si>
    <t>MOV_HSPU_KIPDRILL</t>
  </si>
  <si>
    <t>Kipping HSPU Drill</t>
  </si>
  <si>
    <t>Hip pop/knee tuck mechanics; EMOM practice</t>
  </si>
  <si>
    <t>MOV_SCAPSLIDE</t>
  </si>
  <si>
    <t>Scapular Wall Slide</t>
  </si>
  <si>
    <t>Shoulder prehab/activation</t>
  </si>
  <si>
    <t>MOV_SNATCH_DL_SEG</t>
  </si>
  <si>
    <t>Segmented Snatch Deadlift (1" + knee)</t>
  </si>
  <si>
    <t>Snatch DL with pauses 1" &amp; knee</t>
  </si>
  <si>
    <t>MOV_SNATCH_DL</t>
  </si>
  <si>
    <t>Snatch Deadlift</t>
  </si>
  <si>
    <t>MOV_CLEAN_HPULL</t>
  </si>
  <si>
    <t>Clean High Pull</t>
  </si>
  <si>
    <t>High pull (clean grip)</t>
  </si>
  <si>
    <t>MOV_SNATCH_HPULL</t>
  </si>
  <si>
    <t>Snatch High Pull</t>
  </si>
  <si>
    <t>High pull (snatch grip)</t>
  </si>
  <si>
    <t>MOV_PC_FS_COMPLEX</t>
  </si>
  <si>
    <t>Power Clean + Front Squat (Complex)</t>
  </si>
  <si>
    <t>Power clean then front squat</t>
  </si>
  <si>
    <t>MOV_HCLEAN_JERK_COMPLEX</t>
  </si>
  <si>
    <t>Hang Clean (knee) + Jerk (Complex)</t>
  </si>
  <si>
    <t>Hang clean from knee + jerk</t>
  </si>
  <si>
    <t>MOV_PSN_OHS_COMPLEX</t>
  </si>
  <si>
    <t>Power Snatch + OHS (Complex)</t>
  </si>
  <si>
    <t>Power snatch then overhead squat</t>
  </si>
  <si>
    <t>MOV_SN_PRESS</t>
  </si>
  <si>
    <t>Snatch Press (Behind-the-neck)</t>
  </si>
  <si>
    <t>Press with snatch grip, BTN</t>
  </si>
  <si>
    <t>MOV_HSISO_LOW</t>
  </si>
  <si>
    <t>Bottom-Range Handstand Isometric Hold</t>
  </si>
  <si>
    <t>MOV_HSPU_CLUSTER_STRICT</t>
  </si>
  <si>
    <t>Strict HSPU Clusters</t>
  </si>
  <si>
    <t>MOV_CLEAN_DL_SEG</t>
  </si>
  <si>
    <t>Segmented Clean Deadlift (1" + knee)</t>
  </si>
  <si>
    <t>Clean DL with pauses 1" &amp; knee</t>
  </si>
  <si>
    <t>MOV_CLEAN_DL</t>
  </si>
  <si>
    <t>Clean Deadlift</t>
  </si>
  <si>
    <t>Celan Deadlift</t>
  </si>
  <si>
    <t>MOV_WPU</t>
  </si>
  <si>
    <t>Weighted Pull-Up</t>
  </si>
  <si>
    <t>Load added to body (plate/backpack). Log the added kg.</t>
  </si>
  <si>
    <t>MOV_C2B_ISO</t>
  </si>
  <si>
    <t>Chest-to-Bar Hold</t>
  </si>
  <si>
    <t>Static isometric with sternum on bar.</t>
  </si>
  <si>
    <t>MOV_C2B_NEG</t>
  </si>
  <si>
    <t>Chest-to-Bar Negative</t>
  </si>
  <si>
    <t>Lower sternum→dead-hang 4–8s.</t>
  </si>
  <si>
    <t>MOV_SBDIP</t>
  </si>
  <si>
    <t>Straight-Bar Dip</t>
  </si>
  <si>
    <t>Dip on the pull-up bar (knees tucked if needed). Load via belt/backpack if used—log in Notes.</t>
  </si>
  <si>
    <t>MOV_BAR_SUP</t>
  </si>
  <si>
    <t>Bar Top Support Hold</t>
  </si>
  <si>
    <t>Support above bar, elbows locked, hollow body.</t>
  </si>
  <si>
    <t>MOV_BMU_TRANS_FA</t>
  </si>
  <si>
    <t>Bar MU Transition – Foot/Box Assist</t>
  </si>
  <si>
    <t>Minimal toe pressure; fast turnover; box height in Notes.</t>
  </si>
  <si>
    <t>MOV_BMU_ECC</t>
  </si>
  <si>
    <t>Bar MU Eccentric</t>
  </si>
  <si>
    <t>Jump to top → slow lower through transition to hang (4–8s).</t>
  </si>
  <si>
    <t>MOV_CLEAN_DL_RISER</t>
  </si>
  <si>
    <t>Clean Deadlift on Riser</t>
  </si>
  <si>
    <t>2-4 cm deficit; clean grip; upright back angle</t>
  </si>
  <si>
    <t>MOV_SNATCH_DL_RISER</t>
  </si>
  <si>
    <t>Snatch Deadlift on Riser</t>
  </si>
  <si>
    <t>2-4 cm deficit; snatch grip</t>
  </si>
  <si>
    <t>MOV_RINGROW</t>
  </si>
  <si>
    <t>Ring Row</t>
  </si>
  <si>
    <t>false-grip, tempo 2020, feet-elevated if used</t>
  </si>
  <si>
    <t>MOV_BBCALF</t>
  </si>
  <si>
    <t>Barbell Calf Raise</t>
  </si>
  <si>
    <t>Standing calf raise from rack; use blocks for ROM</t>
  </si>
  <si>
    <t>MOV_BROADJ</t>
  </si>
  <si>
    <t>Broad Jump</t>
  </si>
  <si>
    <t>Record best distance per set in Notes (m or cm); walk-back rest; soft landings.</t>
  </si>
  <si>
    <t>MOV_BBLUNGE</t>
  </si>
  <si>
    <t>Barbell Lunge</t>
  </si>
  <si>
    <t>Back or front rack; forward or reverse; log load (kg); reps listed are per leg unless noted</t>
  </si>
  <si>
    <t>MOV_NORDIC</t>
  </si>
  <si>
    <t>Nordic Hamstring Curl</t>
  </si>
  <si>
    <t>Anchor heels under heavy barbell chocked by plates; 3â€“5s eccentric; use hands to return; progress to full as able</t>
  </si>
  <si>
    <t>MOV_PAUSE_OHS</t>
  </si>
  <si>
    <t>Pause Overhead Squat (2s)</t>
  </si>
  <si>
    <t>2s pause at bottom; stable positions</t>
  </si>
  <si>
    <t>MOV_HKR</t>
  </si>
  <si>
    <t>Hanging Knee Raise</t>
  </si>
  <si>
    <t>Strict; knees above hip crease; no kip.</t>
  </si>
  <si>
    <t>MOV_HLR</t>
  </si>
  <si>
    <t>Hanging Leg Raise</t>
  </si>
  <si>
    <t>Straight leg; no kip; control down.</t>
  </si>
  <si>
    <t>MOV_HOLLOWRK</t>
  </si>
  <si>
    <t>Hollow Rock</t>
  </si>
  <si>
    <t>Maintain ribs down; small amplitude; quality reps.</t>
  </si>
  <si>
    <t>MOV_VUP</t>
  </si>
  <si>
    <t>V-Up</t>
  </si>
  <si>
    <t>Synchronous hip + trunk flexion; slow eccentric.</t>
  </si>
  <si>
    <t>MOV_DEADBUG</t>
  </si>
  <si>
    <t>Dead Bug</t>
  </si>
  <si>
    <t>Anti extension; alternate limbs; tempo 3010.</t>
  </si>
  <si>
    <t>MOV_BIRD_DOG</t>
  </si>
  <si>
    <t>Bird Dog</t>
  </si>
  <si>
    <t>Anti rotation; contralateral reach; 1â€“2s pause.</t>
  </si>
  <si>
    <t>MOV_SIDEPLANK</t>
  </si>
  <si>
    <t>Side Plank Hold</t>
  </si>
  <si>
    <t>Per side hold; straight line earâ†’ankle.</t>
  </si>
  <si>
    <t>MOV_COPEN</t>
  </si>
  <si>
    <t>Copenhagen Plank</t>
  </si>
  <si>
    <t>Adductor focused side plank; per side.</t>
  </si>
  <si>
    <t>MOV_PALLOF</t>
  </si>
  <si>
    <t>Pallof Press</t>
  </si>
  <si>
    <t>Cable or band; anti rotation; per side.</t>
  </si>
  <si>
    <t>MOV_ABWHEEL</t>
  </si>
  <si>
    <t>Ab Wheel Rollout</t>
  </si>
  <si>
    <t>Anti extension; knees or toes; slow 3â€“4s down.</t>
  </si>
  <si>
    <t>MOV_BBROLLOUT</t>
  </si>
  <si>
    <t>Barbell Rollout</t>
  </si>
  <si>
    <t>Ab wheel variant using barbell with plates.</t>
  </si>
  <si>
    <t>MOV_KB_WINDMILL</t>
  </si>
  <si>
    <t>KB Windmill</t>
  </si>
  <si>
    <t>Overhead KB; hip hinge; per side; obliques + shoulder stability.</t>
  </si>
  <si>
    <t>MOV_SUITCASE</t>
  </si>
  <si>
    <t>Suitcase Carry</t>
  </si>
  <si>
    <t>Single arm carry; anti lateral flexion; log per side load.</t>
  </si>
  <si>
    <t>MOV_OH_CARRY</t>
  </si>
  <si>
    <t>Overhead Carry</t>
  </si>
  <si>
    <t>Single KB/DB overhead; lockout; log per side load.</t>
  </si>
  <si>
    <t>MOV_RMU_TRANS_FA</t>
  </si>
  <si>
    <t>Ring MU Transition</t>
  </si>
  <si>
    <t>Minimal toe pressure; box height in Notes; fast turnover</t>
  </si>
  <si>
    <t>MOV_FALSEGRIP_HANG</t>
  </si>
  <si>
    <t>False-Grip Hang (Rings)</t>
  </si>
  <si>
    <t>Wrist crease above ring; elbows soft; scap depressed</t>
  </si>
  <si>
    <t>MOV_RING_DIP_BOTTOM_HOLD</t>
  </si>
  <si>
    <t>Ring Dip Bottom Hold</t>
  </si>
  <si>
    <t>Shoulders below rings; neutral grip; chest up; no bounce</t>
  </si>
  <si>
    <t>MOV_TTB_ECC</t>
  </si>
  <si>
    <t>Toes-to-Bar Eccentrics</t>
  </si>
  <si>
    <t>3–5 s controlled negative; strict; no re-kip between reps</t>
  </si>
  <si>
    <t>MOV_SCAP_PULL</t>
  </si>
  <si>
    <t>Scap Pull (Bar/Rings)</t>
  </si>
  <si>
    <t>Specify implement in Notes (bar or rings); elbows straight; move only the scapula (depress/retract)</t>
  </si>
  <si>
    <t>MOV_RING_SUPPORT_HOLD</t>
  </si>
  <si>
    <t>Ring support hold</t>
  </si>
  <si>
    <t>depress scapula external rotation</t>
  </si>
  <si>
    <t>MOV_TTB_NEG</t>
  </si>
  <si>
    <t>strict T2B negatives</t>
  </si>
  <si>
    <t xml:space="preserve">T2B Negatives </t>
  </si>
  <si>
    <t>MOV_PALLOF_ISO</t>
  </si>
  <si>
    <t>Pallof Press Iso</t>
  </si>
  <si>
    <t>Pallof hold (if you prefer static variation)</t>
  </si>
  <si>
    <t>MOV_PSN_PSPP_OHS</t>
  </si>
  <si>
    <t>Power Snatch + Snatch Push Press + Overhead Squat</t>
  </si>
  <si>
    <t>MOV_PCLN_PJERK</t>
  </si>
  <si>
    <t>Power Clean + Power Jerk</t>
  </si>
  <si>
    <t>Clean &amp; Jerk Complex</t>
  </si>
  <si>
    <t>MOV_PCLN_PUSH_PRESS</t>
  </si>
  <si>
    <t>Power Clean + Push Press</t>
  </si>
  <si>
    <t>Clean &amp; Push Complex</t>
  </si>
  <si>
    <t>Clean</t>
  </si>
  <si>
    <t>MOV_JERK_BEHIND_NECK</t>
  </si>
  <si>
    <t>Jerk Behind Neck</t>
  </si>
  <si>
    <t>Behind neck jerk</t>
  </si>
  <si>
    <t>MOV_WW</t>
  </si>
  <si>
    <t>Wall Walk</t>
  </si>
  <si>
    <t>Gymnastic</t>
  </si>
  <si>
    <t>Sets</t>
  </si>
  <si>
    <t>Reps</t>
  </si>
  <si>
    <t>Load</t>
  </si>
  <si>
    <t>ProgramID</t>
  </si>
  <si>
    <t>ProgramCode</t>
  </si>
  <si>
    <t>StartDate</t>
  </si>
  <si>
    <t>EndDate</t>
  </si>
  <si>
    <t>HSPU-6W</t>
  </si>
  <si>
    <t>HSPU 6-Week Developmental</t>
  </si>
  <si>
    <t>Paired with BMU Program; 3 HSPU sessions/week (A,B,C)</t>
  </si>
  <si>
    <t>OLY-BEG-A</t>
  </si>
  <si>
    <t>BEG_EVERETT_A</t>
  </si>
  <si>
    <t>Working towards a 80kg C&amp;J and a 60kg Snatch - Block A</t>
  </si>
  <si>
    <t>OLY-BEG-B</t>
  </si>
  <si>
    <t>BEG_EVERETT_B</t>
  </si>
  <si>
    <t>Working towards a 80kg C&amp;J and a 60kg Snatch - Block B</t>
  </si>
  <si>
    <t>OLY-L1_A</t>
  </si>
  <si>
    <t>LEV1_EVERETT_A</t>
  </si>
  <si>
    <t>Working towards a 107kg C&amp;J and a 88kg Snatch</t>
  </si>
  <si>
    <t>10W_SQUAT</t>
  </si>
  <si>
    <t>10_WEEK_SQUAT</t>
  </si>
  <si>
    <t>10 Week Greg Everett Squat</t>
  </si>
  <si>
    <t>BMU-6W</t>
  </si>
  <si>
    <t>BMU 6-Week Development</t>
  </si>
  <si>
    <t>Paired with HSPU Program; 3 BMU sessions/week (A,B,C)</t>
  </si>
  <si>
    <t>WG_4W_A</t>
  </si>
  <si>
    <t>EVERETT_WG_A</t>
  </si>
  <si>
    <t>Greg Everett Weight Gain Block A with recovery week</t>
  </si>
  <si>
    <t>WG_4W_B</t>
  </si>
  <si>
    <t>EVERETT_WG_B</t>
  </si>
  <si>
    <t>Greg Everett Weight Gain Block B with recovery week</t>
  </si>
  <si>
    <t>5W_FS</t>
  </si>
  <si>
    <t>5_WEEK_F_SQUAT</t>
  </si>
  <si>
    <t>5 Week Greg Everett Squat Program</t>
  </si>
  <si>
    <t>SessionCode</t>
  </si>
  <si>
    <t>SessionOrder</t>
  </si>
  <si>
    <t>SessionID</t>
  </si>
  <si>
    <t>SessionLabel</t>
  </si>
  <si>
    <t>SessionName</t>
  </si>
  <si>
    <t>A</t>
  </si>
  <si>
    <t>HSPU Session A (Strength Focus)</t>
  </si>
  <si>
    <t>Eccentrics + strict press + core</t>
  </si>
  <si>
    <t>B</t>
  </si>
  <si>
    <t>HSPU Session B (Skill Focus)</t>
  </si>
  <si>
    <t>Handstand line + partial ROM + kipping drill</t>
  </si>
  <si>
    <t>C</t>
  </si>
  <si>
    <t>HSPU Session C (Grooving)</t>
  </si>
  <si>
    <t>Light technique + shoulder accessories</t>
  </si>
  <si>
    <t>PRG_BEG_EVERETT_A_20250810_001</t>
  </si>
  <si>
    <t>Snatch Technique</t>
  </si>
  <si>
    <t>Clean Technique</t>
  </si>
  <si>
    <t>Jerk</t>
  </si>
  <si>
    <t>Jerk and Press</t>
  </si>
  <si>
    <t>D</t>
  </si>
  <si>
    <t>PRG_BEG_EVERETT_B_20251027_001</t>
  </si>
  <si>
    <t>Clean and Jerk</t>
  </si>
  <si>
    <t>PRG_LEV1_EVERETT_A_20250810_001</t>
  </si>
  <si>
    <t>Overhead</t>
  </si>
  <si>
    <t>PRG_10_WEEK_SQUAT_20250810_001</t>
  </si>
  <si>
    <t>E</t>
  </si>
  <si>
    <t>F</t>
  </si>
  <si>
    <t>Explosive C2B + Weighted PU</t>
  </si>
  <si>
    <t>Transitions + Straight-bar dips</t>
  </si>
  <si>
    <t>Isometrics + Capacity</t>
  </si>
  <si>
    <t>PRG_EVERETT_WG_A_20260401_001</t>
  </si>
  <si>
    <t>PRG_EVERETT_WG_B_20260401_001</t>
  </si>
  <si>
    <t>PRG_5_WEEK_F_SQUAT_20260401_001</t>
  </si>
  <si>
    <t>MovName</t>
  </si>
  <si>
    <t>Volume (kg)</t>
  </si>
  <si>
    <t>%1RM</t>
  </si>
  <si>
    <t>CheckSession</t>
  </si>
  <si>
    <t>HSPU-6W-A-01</t>
  </si>
  <si>
    <t>5 - 7 s controlled</t>
  </si>
  <si>
    <t>Feet on box; deep ROM; RIR â‰¥2</t>
  </si>
  <si>
    <t>No failure</t>
  </si>
  <si>
    <t>EMOM 8</t>
  </si>
  <si>
    <t>30-35kg</t>
  </si>
  <si>
    <t>HSPU-6W-B-01</t>
  </si>
  <si>
    <t>Wall-facing okay</t>
  </si>
  <si>
    <t>Use abmat/block; progress ROM</t>
  </si>
  <si>
    <t>EMOM style; crisp reps</t>
  </si>
  <si>
    <t>Hollow/arch rocks 20 s each</t>
  </si>
  <si>
    <t>Optional finisher: technique only</t>
  </si>
  <si>
    <t>HSPU-6W-C-01</t>
  </si>
  <si>
    <t>Kick-up practice; quality</t>
  </si>
  <si>
    <t>Light groove; leave reps in tank</t>
  </si>
  <si>
    <t>Technique focus; not to failure</t>
  </si>
  <si>
    <t>Shoulder health</t>
  </si>
  <si>
    <t>HSPU-6W-A-02</t>
  </si>
  <si>
    <t>HSPU-6W-B-02</t>
  </si>
  <si>
    <t>HSPU-6W-C-02</t>
  </si>
  <si>
    <t>HSPU-6W-A-03</t>
  </si>
  <si>
    <t>5 - 7 s down + 2 s mid pause</t>
  </si>
  <si>
    <t>Deep ROM</t>
  </si>
  <si>
    <t>HSPU-6W-B-03</t>
  </si>
  <si>
    <t>Slightly deeper ROM</t>
  </si>
  <si>
    <t>2 s pause @ 1/2; stand up; no grind</t>
  </si>
  <si>
    <t>HSPU-6W-C-03</t>
  </si>
  <si>
    <t>HSPU-6W-A-04</t>
  </si>
  <si>
    <t>HSPU-6W-B-04</t>
  </si>
  <si>
    <t>HSPU-6W-C-04</t>
  </si>
  <si>
    <t>HSPU-6W-A-05</t>
  </si>
  <si>
    <t>5 - 7 s controlled (skip if sore)</t>
  </si>
  <si>
    <t>HSPU-6W-B-05</t>
  </si>
  <si>
    <t>Deepest strict depth; no failure</t>
  </si>
  <si>
    <t>EMOM style; crisp 2s</t>
  </si>
  <si>
    <t>HSPU-6W-C-05</t>
  </si>
  <si>
    <t>HSPU-6W-A-06</t>
  </si>
  <si>
    <t>HSPU-6W-B-06</t>
  </si>
  <si>
    <t>HSPU-6W-C-06</t>
  </si>
  <si>
    <t>OLY-BEG-A-A-01</t>
  </si>
  <si>
    <t>Below knee</t>
  </si>
  <si>
    <t>1" + knee pauses</t>
  </si>
  <si>
    <t>OLY-BEG-A-B-01</t>
  </si>
  <si>
    <t>2+1</t>
  </si>
  <si>
    <t>OLY-BEG-A-C-01</t>
  </si>
  <si>
    <t>3(1+1)</t>
  </si>
  <si>
    <t>From knee</t>
  </si>
  <si>
    <t>OLY-BEG-A-D-01</t>
  </si>
  <si>
    <t>OLY-BEG-A-A-02</t>
  </si>
  <si>
    <t>OLY-BEG-A-B-02</t>
  </si>
  <si>
    <t>OLY-BEG-A-C-02</t>
  </si>
  <si>
    <t>OLY-BEG-A-D-02</t>
  </si>
  <si>
    <t>OLY-BEG-A-A-03</t>
  </si>
  <si>
    <t>OLY-BEG-A-B-03</t>
  </si>
  <si>
    <t>OLY-BEG-A-C-03</t>
  </si>
  <si>
    <t>OLY-BEG-A-D-03</t>
  </si>
  <si>
    <t>OLY-BEG-A-A-04</t>
  </si>
  <si>
    <t>OLY-BEG-A-B-04</t>
  </si>
  <si>
    <t>OLY-BEG-A-C-04</t>
  </si>
  <si>
    <t>OLY-BEG-A-D-04</t>
  </si>
  <si>
    <t>OLY-BEG-B-A-01</t>
  </si>
  <si>
    <t>OLY-BEG-B-B-01</t>
  </si>
  <si>
    <t>2(1+1)</t>
  </si>
  <si>
    <t>45kg</t>
  </si>
  <si>
    <t>5kg</t>
  </si>
  <si>
    <t>OLY-BEG-B-C-01</t>
  </si>
  <si>
    <t>55kg</t>
  </si>
  <si>
    <t>Max</t>
  </si>
  <si>
    <t>OLY-BEG-B-D-01</t>
  </si>
  <si>
    <t>35kg</t>
  </si>
  <si>
    <t>30kg</t>
  </si>
  <si>
    <t>Lsit to T2B</t>
  </si>
  <si>
    <t>Active Hang</t>
  </si>
  <si>
    <t>OLY-BEG-B-A-02</t>
  </si>
  <si>
    <t>47.5kg</t>
  </si>
  <si>
    <t>OLY-BEG-B-B-02</t>
  </si>
  <si>
    <t>OLY-BEG-B-C-02</t>
  </si>
  <si>
    <t>57.5kg</t>
  </si>
  <si>
    <t>OLY-BEG-B-D-02</t>
  </si>
  <si>
    <t>37.5kg</t>
  </si>
  <si>
    <t>OLY-BEG-B-A-03</t>
  </si>
  <si>
    <t>40kg</t>
  </si>
  <si>
    <t>OLY-BEG-B-B-03</t>
  </si>
  <si>
    <t>50kg</t>
  </si>
  <si>
    <t>OLY-BEG-B-C-03</t>
  </si>
  <si>
    <t>60kg</t>
  </si>
  <si>
    <t>OLY-BEG-B-D-03</t>
  </si>
  <si>
    <t>32.5kg</t>
  </si>
  <si>
    <t>OLY-BEG-B-A-04</t>
  </si>
  <si>
    <t>52.5kg</t>
  </si>
  <si>
    <t>OLY-BEG-B-B-04</t>
  </si>
  <si>
    <t>OLY-BEG-B-C-04</t>
  </si>
  <si>
    <t>62.5kg</t>
  </si>
  <si>
    <t>OLY-BEG-B-D-04</t>
  </si>
  <si>
    <t>42.5kg</t>
  </si>
  <si>
    <t>OLY-L1_A-A-01</t>
  </si>
  <si>
    <t>Abs accessory</t>
  </si>
  <si>
    <t>OLY-L1_A-B-01</t>
  </si>
  <si>
    <t>3+1</t>
  </si>
  <si>
    <t>OLY-L1_A-C-01</t>
  </si>
  <si>
    <t>5+1</t>
  </si>
  <si>
    <t>OLY-L1_A-D-01</t>
  </si>
  <si>
    <t>OLY-L1_A-A-02</t>
  </si>
  <si>
    <t>Use as Halting Snatch DL (mid-thigh)</t>
  </si>
  <si>
    <t>OLY-L1_A-B-02</t>
  </si>
  <si>
    <t>OLY-L1_A-C-02</t>
  </si>
  <si>
    <t>Use as Halting Clean DL (mid-thigh)</t>
  </si>
  <si>
    <t>OLY-L1_A-D-02</t>
  </si>
  <si>
    <t>OLY-L1_A-A-03</t>
  </si>
  <si>
    <t>OLY-L1_A-B-03</t>
  </si>
  <si>
    <t>1+3</t>
  </si>
  <si>
    <t>OLY-L1_A-C-03</t>
  </si>
  <si>
    <t>OLY-L1_A-D-03</t>
  </si>
  <si>
    <t>OLY-L1_A-A-04</t>
  </si>
  <si>
    <t>OLY-L1_A-B-04</t>
  </si>
  <si>
    <t>OLY-L1_A-C-04</t>
  </si>
  <si>
    <t>OLY-L1_A-D-04</t>
  </si>
  <si>
    <t>10W_SQUAT-A-01</t>
  </si>
  <si>
    <t>10W_SQUAT-B-01</t>
  </si>
  <si>
    <t>10W_SQUAT-C-01</t>
  </si>
  <si>
    <t>10W_SQUAT-D-01</t>
  </si>
  <si>
    <t>10W_SQUAT-E-01</t>
  </si>
  <si>
    <t>10W_SQUAT-F-01</t>
  </si>
  <si>
    <t>10W_SQUAT-A-02</t>
  </si>
  <si>
    <t>10W_SQUAT-B-02</t>
  </si>
  <si>
    <t>10W_SQUAT-C-02</t>
  </si>
  <si>
    <t>10W_SQUAT-D-02</t>
  </si>
  <si>
    <t>10W_SQUAT-E-02</t>
  </si>
  <si>
    <t>10W_SQUAT-F-02</t>
  </si>
  <si>
    <t>10W_SQUAT-A-03</t>
  </si>
  <si>
    <t>10W_SQUAT-B-03</t>
  </si>
  <si>
    <t>10W_SQUAT-C-03</t>
  </si>
  <si>
    <t>10W_SQUAT-D-03</t>
  </si>
  <si>
    <t>10W_SQUAT-E-03</t>
  </si>
  <si>
    <t>10W_SQUAT-F-03</t>
  </si>
  <si>
    <t>10W_SQUAT-A-04</t>
  </si>
  <si>
    <t>10W_SQUAT-B-04</t>
  </si>
  <si>
    <t>10W_SQUAT-C-04</t>
  </si>
  <si>
    <t>10W_SQUAT-D-04</t>
  </si>
  <si>
    <t>10W_SQUAT-E-04</t>
  </si>
  <si>
    <t>10W_SQUAT-F-04</t>
  </si>
  <si>
    <t>10W_SQUAT-A-05</t>
  </si>
  <si>
    <t>10W_SQUAT-B-05</t>
  </si>
  <si>
    <t>10W_SQUAT-C-05</t>
  </si>
  <si>
    <t>10W_SQUAT-D-05</t>
  </si>
  <si>
    <t>10W_SQUAT-E-05</t>
  </si>
  <si>
    <t>10W_SQUAT-F-05</t>
  </si>
  <si>
    <t>10W_SQUAT-A-06</t>
  </si>
  <si>
    <t>10W_SQUAT-B-06</t>
  </si>
  <si>
    <t>10W_SQUAT-C-06</t>
  </si>
  <si>
    <t>10W_SQUAT-D-06</t>
  </si>
  <si>
    <t>10W_SQUAT-E-06</t>
  </si>
  <si>
    <t>10W_SQUAT-F-06</t>
  </si>
  <si>
    <t>10W_SQUAT-A-07</t>
  </si>
  <si>
    <t>10W_SQUAT-B-07</t>
  </si>
  <si>
    <t>10W_SQUAT-C-07</t>
  </si>
  <si>
    <t>10W_SQUAT-D-07</t>
  </si>
  <si>
    <t>10W_SQUAT-E-07</t>
  </si>
  <si>
    <t>10W_SQUAT-F-07</t>
  </si>
  <si>
    <t>10W_SQUAT-A-08</t>
  </si>
  <si>
    <t>10W_SQUAT-B-08</t>
  </si>
  <si>
    <t>10W_SQUAT-C-08</t>
  </si>
  <si>
    <t>10W_SQUAT-D-08</t>
  </si>
  <si>
    <t>10W_SQUAT-E-08</t>
  </si>
  <si>
    <t>10W_SQUAT-F-08</t>
  </si>
  <si>
    <t>10W_SQUAT-A-09</t>
  </si>
  <si>
    <t>10W_SQUAT-B-09</t>
  </si>
  <si>
    <t>10W_SQUAT-C-09</t>
  </si>
  <si>
    <t>10W_SQUAT-D-09</t>
  </si>
  <si>
    <t>10W_SQUAT-E-09</t>
  </si>
  <si>
    <t>10W_SQUAT-F-09</t>
  </si>
  <si>
    <t>10W_SQUAT-A-10</t>
  </si>
  <si>
    <t>10W_SQUAT-B-10</t>
  </si>
  <si>
    <t>Test Max</t>
  </si>
  <si>
    <t>10W_SQUAT-C-10</t>
  </si>
  <si>
    <t>10W_SQUAT-D-10</t>
  </si>
  <si>
    <t>10W_SQUAT-E-10</t>
  </si>
  <si>
    <t>10W_SQUAT-F-10</t>
  </si>
  <si>
    <t>BMU-6W-A-01</t>
  </si>
  <si>
    <t>Explosive chest contact; 90 - 120s rest</t>
  </si>
  <si>
    <t>RPE 7 - 8; add 1 - 2 kg when all reps clean</t>
  </si>
  <si>
    <t>Hold at touch point</t>
  </si>
  <si>
    <t>20 - 30</t>
  </si>
  <si>
    <t>Quality hollow; no fatigue</t>
  </si>
  <si>
    <t>Optional finisher: kipping or strict technique only</t>
  </si>
  <si>
    <t>BMU-6W-B-01</t>
  </si>
  <si>
    <t>Minimal toe; fast turnover</t>
  </si>
  <si>
    <t>Knees tucked if needed</t>
  </si>
  <si>
    <t>Elbows locked; hollow body</t>
  </si>
  <si>
    <t>Jump to top; 4 - 6 s lower</t>
  </si>
  <si>
    <t>Over the bar</t>
  </si>
  <si>
    <t>BMU-6W-C-01</t>
  </si>
  <si>
    <t>(2-2-2) clusters</t>
  </si>
  <si>
    <t>00:15 intra / 2:00 between</t>
  </si>
  <si>
    <t>At touch point</t>
  </si>
  <si>
    <t>4 - 6 s down to full hang</t>
  </si>
  <si>
    <t>Pause 1-2 seconds</t>
  </si>
  <si>
    <t>BMU-6W-A-02</t>
  </si>
  <si>
    <t>35-40kg</t>
  </si>
  <si>
    <t>BMU-6W-B-02</t>
  </si>
  <si>
    <t>over the bar</t>
  </si>
  <si>
    <t>BMU-6W-C-02</t>
  </si>
  <si>
    <t>BMU-6W-A-03</t>
  </si>
  <si>
    <t>Explosive; 90 - 120s rest</t>
  </si>
  <si>
    <t>RPE 7 - 8</t>
  </si>
  <si>
    <t>BMU-6W-B-03</t>
  </si>
  <si>
    <t>Lower box/one toe</t>
  </si>
  <si>
    <t>If BW is clean</t>
  </si>
  <si>
    <t>5 - 7 s lower; perfect path</t>
  </si>
  <si>
    <t>BMU-6W-C-03</t>
  </si>
  <si>
    <t>(3-2) clusters</t>
  </si>
  <si>
    <t>4 - 6 s down; control</t>
  </si>
  <si>
    <t>BMU-6W-A-04</t>
  </si>
  <si>
    <t>BMU-6W-B-04</t>
  </si>
  <si>
    <t>BMU-6W-C-04</t>
  </si>
  <si>
    <t>BMU-6W-A-05</t>
  </si>
  <si>
    <t>Explosive with 1 s chest pause</t>
  </si>
  <si>
    <t>RPE 8; clean doubles if needed</t>
  </si>
  <si>
    <t>15 - 20</t>
  </si>
  <si>
    <t>BMU-6W-B-05</t>
  </si>
  <si>
    <t>Assisted strict singles; full support</t>
  </si>
  <si>
    <t>Heavy; no grind</t>
  </si>
  <si>
    <t>Only if joints feel great; 6 - 8 s</t>
  </si>
  <si>
    <t>BMU-6W-C-05</t>
  </si>
  <si>
    <t>Straight sets; speed focus; 120 s rest</t>
  </si>
  <si>
    <t>6 s down; full control</t>
  </si>
  <si>
    <t>BMU-6W-A-06</t>
  </si>
  <si>
    <t>BMU-6W-B-06</t>
  </si>
  <si>
    <t>BMU-6W-C-06</t>
  </si>
  <si>
    <t>WG_4W_A-A-01</t>
  </si>
  <si>
    <t>E2:00; add +2.5 kg/wk if &lt;2 RIR</t>
  </si>
  <si>
    <t>Build across sets; last set near 10RM</t>
  </si>
  <si>
    <t>Flat back; straps OK</t>
  </si>
  <si>
    <t>Rear foot on floor; each leg; RPE 8 @ 10</t>
  </si>
  <si>
    <t>Walk-back 45-60s; log best distance in Notes</t>
  </si>
  <si>
    <t>WG_4W_A-B-01</t>
  </si>
  <si>
    <t>From rack; crisp footwork</t>
  </si>
  <si>
    <t>No re-dip; RPE 7-8</t>
  </si>
  <si>
    <t>Close grip optional; RPE ~8</t>
  </si>
  <si>
    <t>Rings optional; tempo 3-0-1</t>
  </si>
  <si>
    <t>Braced; nose over thumbs</t>
  </si>
  <si>
    <t>WG_4W_A-C-01</t>
  </si>
  <si>
    <t>Hook grip; bar close</t>
  </si>
  <si>
    <t>2-4 cm deficit; clean grip; upright back</t>
  </si>
  <si>
    <t>Feet-elevated to hit RPE ~8</t>
  </si>
  <si>
    <t>Strict; add weight if easy</t>
  </si>
  <si>
    <t>WG_4W_A-D-01</t>
  </si>
  <si>
    <t>Build to HS; no grinders</t>
  </si>
  <si>
    <t>@10-20% from HS; fast &amp; crisp</t>
  </si>
  <si>
    <t>No bounce; upright torso</t>
  </si>
  <si>
    <t>Controlled 8s; last set near 8-10RM</t>
  </si>
  <si>
    <t>Each leg; RPE 8</t>
  </si>
  <si>
    <t>Walk-back rest 45-60s; springy contacts</t>
  </si>
  <si>
    <t>WG_4W_A-E-01</t>
  </si>
  <si>
    <t>Fast feet; vertical finish</t>
  </si>
  <si>
    <t>2-4 cm deficit; snatch grip; chest tall</t>
  </si>
  <si>
    <t>Touch &amp; 1s pause; RPE ~8</t>
  </si>
  <si>
    <t>Neutral grip; squeeze at top</t>
  </si>
  <si>
    <t>WG_4W_A-A-02</t>
  </si>
  <si>
    <t>WG_4W_A-B-02</t>
  </si>
  <si>
    <t>WG_4W_A-C-02</t>
  </si>
  <si>
    <t>WG_4W_A-D-02</t>
  </si>
  <si>
    <t>WG_4W_A-E-02</t>
  </si>
  <si>
    <t>WG_4W_A-A-03</t>
  </si>
  <si>
    <t>WG_4W_A-B-03</t>
  </si>
  <si>
    <t>WG_4W_A-C-03</t>
  </si>
  <si>
    <t>WG_4W_A-D-03</t>
  </si>
  <si>
    <t>WG_4W_A-E-03</t>
  </si>
  <si>
    <t>WG_4W_A-A-04</t>
  </si>
  <si>
    <t>WG_4W_A-B-04</t>
  </si>
  <si>
    <t>WG_4W_A-C-04</t>
  </si>
  <si>
    <t>WG_4W_A-D-04</t>
  </si>
  <si>
    <t>WG_4W_A-E-04</t>
  </si>
  <si>
    <t>WG_4W_A-A-05</t>
  </si>
  <si>
    <t>@70% 1RM; speed focus</t>
  </si>
  <si>
    <t>Light; no back fatigue</t>
  </si>
  <si>
    <t>Lower-body BB total 40 reps</t>
  </si>
  <si>
    <t>Soft landings; walk-back rest</t>
  </si>
  <si>
    <t>WG_4W_A-B-05</t>
  </si>
  <si>
    <t>@70% 1RM; crisp dip-drive</t>
  </si>
  <si>
    <t>Light technique work</t>
  </si>
  <si>
    <t>Upper push BB 40 total reps</t>
  </si>
  <si>
    <t>WG_4W_A-C-05</t>
  </si>
  <si>
    <t>Speed reps</t>
  </si>
  <si>
    <t>@80-85% of clean; posture focus</t>
  </si>
  <si>
    <t>Upper pull BB 40 total (2x10 rows + 2x10 pull-ups)</t>
  </si>
  <si>
    <t>WG_4W_A-D-05</t>
  </si>
  <si>
    <t>Stay snappy; full rest</t>
  </si>
  <si>
    <t>No grind; footwork clean</t>
  </si>
  <si>
    <t>@70% 1RM; speed up</t>
  </si>
  <si>
    <t>Unilateral 40 total (2x10)</t>
  </si>
  <si>
    <t>Low contacts; walk-back rest</t>
  </si>
  <si>
    <t>WG_4W_A-E-05</t>
  </si>
  <si>
    <t>@70% 1RM; crisp catch</t>
  </si>
  <si>
    <t>@80-85% snatch</t>
  </si>
  <si>
    <t>Upper push/pull BB 50 total</t>
  </si>
  <si>
    <t>Start light; build weekly if positions rock solid</t>
  </si>
  <si>
    <t>60-65%; last set near 10RM</t>
  </si>
  <si>
    <t>WG_4W_B-A-01</t>
  </si>
  <si>
    <t>RPE 7-8; straps OK</t>
  </si>
  <si>
    <t>Back or front rack; forward or reverse; RPE 8</t>
  </si>
  <si>
    <t>Walk-back 45-60s; log best distance</t>
  </si>
  <si>
    <t>72-80%; crisp dip &amp; re-dip</t>
  </si>
  <si>
    <t>RPE 7-8; no layback</t>
  </si>
  <si>
    <t>WG_4W_B-B-01</t>
  </si>
  <si>
    <t>Strict; add load if easy</t>
  </si>
  <si>
    <t>Triceps focus; RPE ~8</t>
  </si>
  <si>
    <t>Above-knee; bar close</t>
  </si>
  <si>
    <t>90-100% clean; tall finish</t>
  </si>
  <si>
    <t>WG_4W_B-C-01</t>
  </si>
  <si>
    <t>Anchor heels under loaded barbell chocked with plates; 3-5s eccentric; push-up assist on concentric</t>
  </si>
  <si>
    <t>Feet-elevated to RPE ~8</t>
  </si>
  <si>
    <t>@10-20% from HS; fast</t>
  </si>
  <si>
    <t>WG_4W_B-D-01</t>
  </si>
  <si>
    <t>Cap at 1RM quality</t>
  </si>
  <si>
    <t>@10-15% from HS</t>
  </si>
  <si>
    <t>2s pause @ bottom; positions first</t>
  </si>
  <si>
    <t>60-65%; smooth tempo</t>
  </si>
  <si>
    <t>Each leg; controlled steps</t>
  </si>
  <si>
    <t>Above-knee; fast turnover</t>
  </si>
  <si>
    <t>90-100% snatch; elbows high &amp; outside</t>
  </si>
  <si>
    <t>WG_4W_B-E-01</t>
  </si>
  <si>
    <t>WG_4W_B-A-02</t>
  </si>
  <si>
    <t>WG_4W_B-B-02</t>
  </si>
  <si>
    <t>WG_4W_B-C-02</t>
  </si>
  <si>
    <t>WG_4W_B-D-02</t>
  </si>
  <si>
    <t>WG_4W_B-E-02</t>
  </si>
  <si>
    <t>WG_4W_B-A-03</t>
  </si>
  <si>
    <t>WG_4W_B-B-03</t>
  </si>
  <si>
    <t>WG_4W_B-C-03</t>
  </si>
  <si>
    <t>WG_4W_B-D-03</t>
  </si>
  <si>
    <t>WG_4W_B-E-03</t>
  </si>
  <si>
    <t>WG_4W_B-A-04</t>
  </si>
  <si>
    <t>WG_4W_B-B-04</t>
  </si>
  <si>
    <t>WG_4W_B-C-04</t>
  </si>
  <si>
    <t>WG_4W_B-D-04</t>
  </si>
  <si>
    <t>WG_4W_B-E-04</t>
  </si>
  <si>
    <t>@65-70% of training loads; speed &amp; depth</t>
  </si>
  <si>
    <t>Light; keep rhythm</t>
  </si>
  <si>
    <t>WG_4W_B-A-05</t>
  </si>
  <si>
    <t>Light hinge</t>
  </si>
  <si>
    <t>Lower-body BB 40 total (2x10)</t>
  </si>
  <si>
    <t>Soft landings; walk-back</t>
  </si>
  <si>
    <t>@70%; crisp timing</t>
  </si>
  <si>
    <t>Light technique</t>
  </si>
  <si>
    <t>WG_4W_B-B-05</t>
  </si>
  <si>
    <t>Upper push BB 40 total (2x8 + 2x10 bench)</t>
  </si>
  <si>
    <t>@85-90%; tall finish</t>
  </si>
  <si>
    <t>WG_4W_B-C-05</t>
  </si>
  <si>
    <t>Easy eccentrics; 3-4s down; assistance up</t>
  </si>
  <si>
    <t>WG_4W_B-D-05</t>
  </si>
  <si>
    <t>Light, positional focus</t>
  </si>
  <si>
    <t>Smooth tempo</t>
  </si>
  <si>
    <t>Each leg, easy pace</t>
  </si>
  <si>
    <t>@70%; crisp catch</t>
  </si>
  <si>
    <t>@90%; speed through extension</t>
  </si>
  <si>
    <t>WG_4W_B-E-05</t>
  </si>
  <si>
    <t>5W_FS-A-01</t>
  </si>
  <si>
    <t>Core work of choice</t>
  </si>
  <si>
    <t>5W_FS-B-01</t>
  </si>
  <si>
    <t>3+3+3</t>
  </si>
  <si>
    <t>2+1+1</t>
  </si>
  <si>
    <t>5W_FS-C-01</t>
  </si>
  <si>
    <t>5W_FS-D-01</t>
  </si>
  <si>
    <t>% of Push Press</t>
  </si>
  <si>
    <t>% of Snatch (for SPP/SnBal)</t>
  </si>
  <si>
    <t>5W_FS-E-01</t>
  </si>
  <si>
    <t>Build to Heavy Single</t>
  </si>
  <si>
    <t>1+1</t>
  </si>
  <si>
    <t>5W_FS-A-02</t>
  </si>
  <si>
    <t>5W_FS-B-02</t>
  </si>
  <si>
    <t>5W_FS-C-02</t>
  </si>
  <si>
    <t>5W_FS-D-02</t>
  </si>
  <si>
    <t>% of Snatch</t>
  </si>
  <si>
    <t>5W_FS-E-02</t>
  </si>
  <si>
    <t>5W_FS-A-03</t>
  </si>
  <si>
    <t>5W_FS-B-03</t>
  </si>
  <si>
    <t>5W_FS-C-03</t>
  </si>
  <si>
    <t>5W_FS-D-03</t>
  </si>
  <si>
    <t>5W_FS-E-03</t>
  </si>
  <si>
    <t>5W_FS-A-04</t>
  </si>
  <si>
    <t>5W_FS-B-04</t>
  </si>
  <si>
    <t>5W_FS-C-04</t>
  </si>
  <si>
    <t>5W_FS-D-04</t>
  </si>
  <si>
    <t>5W_FS-E-04</t>
  </si>
  <si>
    <t>5W_FS-A-05</t>
  </si>
  <si>
    <t>5W_FS-B-05</t>
  </si>
  <si>
    <t>5W_FS-C-05</t>
  </si>
  <si>
    <t>5W_FS-D-05</t>
  </si>
  <si>
    <t>5W_FS-E-05</t>
  </si>
  <si>
    <t>SleepH</t>
  </si>
  <si>
    <t>HRV</t>
  </si>
  <si>
    <t>RestingHR</t>
  </si>
  <si>
    <t>Soreness_1_10</t>
  </si>
  <si>
    <t>Readiness_1_10</t>
  </si>
  <si>
    <t>MilestoneID</t>
  </si>
  <si>
    <t>Gate</t>
  </si>
  <si>
    <t>Achieved_YN</t>
  </si>
  <si>
    <t>MILE_FRAN_SUB4</t>
  </si>
  <si>
    <t>Fran &lt; 4:00</t>
  </si>
  <si>
    <t>MILE_RMU_5</t>
  </si>
  <si>
    <t>5 unbroken RMU</t>
  </si>
  <si>
    <t>MILE_HSW_25M</t>
  </si>
  <si>
    <t>HSW 25 m unbroken</t>
  </si>
  <si>
    <t>RuleID</t>
  </si>
  <si>
    <t>Trigger</t>
  </si>
  <si>
    <t>Adjustment</t>
  </si>
  <si>
    <t>Reserved</t>
  </si>
  <si>
    <t>RULE_LOW_COMPLIANCE</t>
  </si>
  <si>
    <t>Compliance&lt;0.8</t>
  </si>
  <si>
    <t>Reduce volume 10% next week</t>
  </si>
  <si>
    <t>+1 skill session</t>
  </si>
  <si>
    <t>RULE_LOW_HRV</t>
  </si>
  <si>
    <t>HRV&lt;baseline-10</t>
  </si>
  <si>
    <t>Maintain intensity, cut volume 15%</t>
  </si>
  <si>
    <t>Add mobility</t>
  </si>
  <si>
    <t>RULE_PAIN_FLAG</t>
  </si>
  <si>
    <t>Pain&gt;0 in shoulders</t>
  </si>
  <si>
    <t>Swap kipping MU -&gt; strict pulling</t>
  </si>
  <si>
    <t>Add scap/prehab</t>
  </si>
  <si>
    <t>Current</t>
  </si>
  <si>
    <t>%ToTarget</t>
  </si>
  <si>
    <t>GapNote</t>
  </si>
  <si>
    <t>LastTested</t>
  </si>
  <si>
    <t>5km run</t>
  </si>
  <si>
    <t>Movement Name</t>
  </si>
  <si>
    <t>Result</t>
  </si>
  <si>
    <t>IsPR</t>
  </si>
  <si>
    <t>IsLatestPR</t>
  </si>
  <si>
    <t>Bench 1RM</t>
  </si>
  <si>
    <t>Overhead Press</t>
  </si>
  <si>
    <t>OneRM</t>
  </si>
  <si>
    <t>UpdatedAt</t>
  </si>
  <si>
    <t>Source</t>
  </si>
  <si>
    <t>manual</t>
  </si>
  <si>
    <t>from PR history</t>
  </si>
  <si>
    <t>Competition</t>
  </si>
  <si>
    <t>WellnessID</t>
  </si>
  <si>
    <t>LocalTimezone</t>
  </si>
  <si>
    <t>EntryMethod</t>
  </si>
  <si>
    <t>ImportBatchID</t>
  </si>
  <si>
    <t>SleepStart</t>
  </si>
  <si>
    <t>SleepEnd</t>
  </si>
  <si>
    <t>SleepDuration_h</t>
  </si>
  <si>
    <t>SleepQuality_1to5</t>
  </si>
  <si>
    <t>Readiness_1to100</t>
  </si>
  <si>
    <t>Fatigue_1to5</t>
  </si>
  <si>
    <t>Soreness_1to5</t>
  </si>
  <si>
    <t>Mood_1to5</t>
  </si>
  <si>
    <t>IllnessFlag</t>
  </si>
  <si>
    <t>InjuryFlag</t>
  </si>
  <si>
    <t>RestingHR_bpm</t>
  </si>
  <si>
    <t>HRV_rmssd_ms</t>
  </si>
  <si>
    <t>HRV_Status</t>
  </si>
  <si>
    <t>StressAvg_0to100</t>
  </si>
  <si>
    <t>StressTotal_min</t>
  </si>
  <si>
    <t>BodyBattery_Start</t>
  </si>
  <si>
    <t>BodyBattery_End</t>
  </si>
  <si>
    <t>BodyBattery_Min</t>
  </si>
  <si>
    <t>BodyBattery_Max</t>
  </si>
  <si>
    <t>BodyBattery_Delta</t>
  </si>
  <si>
    <t>Hydration_L</t>
  </si>
  <si>
    <t>Calories_kcal</t>
  </si>
  <si>
    <t>TravelJetlagFlag</t>
  </si>
  <si>
    <t>AlcoholFlag</t>
  </si>
  <si>
    <t>LoggedAt_UTC</t>
  </si>
  <si>
    <t>LoggedBy</t>
  </si>
  <si>
    <t>WELL-2025-09-04-215D</t>
  </si>
  <si>
    <t>Australia/Sydney</t>
  </si>
  <si>
    <t>ui</t>
  </si>
  <si>
    <t>2025-09-04 10:11</t>
  </si>
  <si>
    <t>2025-09-04 07:46</t>
  </si>
  <si>
    <t>baseline</t>
  </si>
  <si>
    <t>[SleepScore=72]</t>
  </si>
  <si>
    <t>2025-09-04 05:27</t>
  </si>
  <si>
    <t>camptoj</t>
  </si>
  <si>
    <t>WELL-2025-09-05-2746</t>
  </si>
  <si>
    <t>2025-09-05 20:55</t>
  </si>
  <si>
    <t>2025-09-05 06:26</t>
  </si>
  <si>
    <t>low</t>
  </si>
  <si>
    <t>[SleepScore=96]</t>
  </si>
  <si>
    <t>2025-09-04 22:23</t>
  </si>
  <si>
    <t>WELL-06/09/2025-DBAA</t>
  </si>
  <si>
    <t>2025-09-06 09:20</t>
  </si>
  <si>
    <t>2025-09-06 05:42</t>
  </si>
  <si>
    <t>[SleepScore=81]</t>
  </si>
  <si>
    <t>2025-09-10 05:17</t>
  </si>
  <si>
    <t>WELL-07/09/2025-943E</t>
  </si>
  <si>
    <t>2025-09-07 09:27</t>
  </si>
  <si>
    <t>2025-09-07 07:04</t>
  </si>
  <si>
    <t>[SleepScore=87]</t>
  </si>
  <si>
    <t>2025-09-10 05:19</t>
  </si>
  <si>
    <t>WELL-08/09/2025-2D8E</t>
  </si>
  <si>
    <t>2025-09-08 09:32</t>
  </si>
  <si>
    <t>2025-09-08 06:00</t>
  </si>
  <si>
    <t>[SleepScore=92]</t>
  </si>
  <si>
    <t>WELL-09/09/2025-9948</t>
  </si>
  <si>
    <t>2025-09-09 09:49</t>
  </si>
  <si>
    <t>2025-09-09 05:37</t>
  </si>
  <si>
    <t>[SleepScore=83]</t>
  </si>
  <si>
    <t>2025-09-10 05:16</t>
  </si>
  <si>
    <t>WELL-10/09/2025-E721</t>
  </si>
  <si>
    <t>2025-09-10 07:52</t>
  </si>
  <si>
    <t>2025-09-10 06:02</t>
  </si>
  <si>
    <t>[SleepScore=85]</t>
  </si>
  <si>
    <t>2025-09-10 23:55</t>
  </si>
  <si>
    <t>WELL-11/09/2025-9A3A</t>
  </si>
  <si>
    <t>2025-09-11 10:15</t>
  </si>
  <si>
    <t>2025-09-11 07:20</t>
  </si>
  <si>
    <t>[SleepScore=76]</t>
  </si>
  <si>
    <t>2025-09-10 23:57</t>
  </si>
  <si>
    <t>WELL-12/09/2025-7742</t>
  </si>
  <si>
    <t>12/09/2025</t>
  </si>
  <si>
    <t>2025-09-12 21:18</t>
  </si>
  <si>
    <t>2025-09-12 03:13</t>
  </si>
  <si>
    <t>[SleepScore=71]</t>
  </si>
  <si>
    <t>2025-09-26 02:26</t>
  </si>
  <si>
    <t>PRG_HSPU_6_WEEK_DEVELOPMENTAL_20251216_001</t>
  </si>
  <si>
    <t>PRG_BMU_6_WEEK_DEVELOPMENT_20251215_001</t>
  </si>
  <si>
    <t>Test Day</t>
  </si>
  <si>
    <t>2025-08-15</t>
  </si>
  <si>
    <t>10W_SQUAT_2</t>
  </si>
  <si>
    <t>10_WEEK_SQUAT_2</t>
  </si>
  <si>
    <t>10 Week Greg Everett Squat - Focus Narrow Grip OHS and Back Squat</t>
  </si>
  <si>
    <t>PRG_10_WEEK_SQUAT_2_20260112_001</t>
  </si>
  <si>
    <t>10W_SQUAT_2-E-01</t>
  </si>
  <si>
    <t>10W_SQUAT_2-A-01</t>
  </si>
  <si>
    <t>10W_SQUAT_2-B-01</t>
  </si>
  <si>
    <t>10W_SQUAT_2-C-01</t>
  </si>
  <si>
    <t>10W_SQUAT_2-D-01</t>
  </si>
  <si>
    <t>10W_SQUAT_2-F-01</t>
  </si>
  <si>
    <t>10W_SQUAT_2-A-02</t>
  </si>
  <si>
    <t>10W_SQUAT_2-C-02</t>
  </si>
  <si>
    <t>10W_SQUAT_2-D-02</t>
  </si>
  <si>
    <t>10W_SQUAT_2-E-02</t>
  </si>
  <si>
    <t>10W_SQUAT_2-F-02</t>
  </si>
  <si>
    <t>10W_SQUAT_2-A-03</t>
  </si>
  <si>
    <t>10W_SQUAT_2-B-03</t>
  </si>
  <si>
    <t>10W_SQUAT_2-C-03</t>
  </si>
  <si>
    <t>10W_SQUAT_2-D-03</t>
  </si>
  <si>
    <t>10W_SQUAT_2-E-03</t>
  </si>
  <si>
    <t>10W_SQUAT_2-F-03</t>
  </si>
  <si>
    <t>10W_SQUAT_2-A-04</t>
  </si>
  <si>
    <t>10W_SQUAT_2-B-04</t>
  </si>
  <si>
    <t>10W_SQUAT_2-C-04</t>
  </si>
  <si>
    <t>10W_SQUAT_2-D-04</t>
  </si>
  <si>
    <t>10W_SQUAT_2-E-04</t>
  </si>
  <si>
    <t>10W_SQUAT_2-F-04</t>
  </si>
  <si>
    <t>10W_SQUAT_2-A-05</t>
  </si>
  <si>
    <t>10W_SQUAT_2-B-05</t>
  </si>
  <si>
    <t>10W_SQUAT_2-C-05</t>
  </si>
  <si>
    <t>10W_SQUAT_2-D-05</t>
  </si>
  <si>
    <t>10W_SQUAT_2-E-05</t>
  </si>
  <si>
    <t>10W_SQUAT_2-F-05</t>
  </si>
  <si>
    <t>10W_SQUAT_2-A-06</t>
  </si>
  <si>
    <t>10W_SQUAT_2-B-06</t>
  </si>
  <si>
    <t>10W_SQUAT_2-C-06</t>
  </si>
  <si>
    <t>10W_SQUAT_2-D-06</t>
  </si>
  <si>
    <t>10W_SQUAT_2-E-06</t>
  </si>
  <si>
    <t>10W_SQUAT_2-F-06</t>
  </si>
  <si>
    <t>10W_SQUAT_2-A-07</t>
  </si>
  <si>
    <t>10W_SQUAT_2-B-07</t>
  </si>
  <si>
    <t>10W_SQUAT_2-C-07</t>
  </si>
  <si>
    <t>10W_SQUAT_2-D-07</t>
  </si>
  <si>
    <t>10W_SQUAT_2-E-07</t>
  </si>
  <si>
    <t>10W_SQUAT_2-F-07</t>
  </si>
  <si>
    <t>10W_SQUAT_2-A-08</t>
  </si>
  <si>
    <t>10W_SQUAT_2-B-08</t>
  </si>
  <si>
    <t>10W_SQUAT_2-C-08</t>
  </si>
  <si>
    <t>10W_SQUAT_2-D-08</t>
  </si>
  <si>
    <t>10W_SQUAT_2-E-08</t>
  </si>
  <si>
    <t>10W_SQUAT_2-F-08</t>
  </si>
  <si>
    <t>10W_SQUAT_2-A-09</t>
  </si>
  <si>
    <t>10W_SQUAT_2-B-09</t>
  </si>
  <si>
    <t>10W_SQUAT_2-C-09</t>
  </si>
  <si>
    <t>10W_SQUAT_2-D-09</t>
  </si>
  <si>
    <t>10W_SQUAT_2-E-09</t>
  </si>
  <si>
    <t>10W_SQUAT_2-F-09</t>
  </si>
  <si>
    <t>10W_SQUAT_2-A-10</t>
  </si>
  <si>
    <t>10W_SQUAT_2-B-10</t>
  </si>
  <si>
    <t>10W_SQUAT_2-C-10</t>
  </si>
  <si>
    <t>10W_SQUAT_2-D-10</t>
  </si>
  <si>
    <t>10W_SQUAT_2-E-10</t>
  </si>
  <si>
    <t>10W_SQUAT_2-F-10</t>
  </si>
  <si>
    <t>MOV_CLEAN_GRIP_OHS</t>
  </si>
  <si>
    <t>Clean Grip OHS</t>
  </si>
  <si>
    <t>Clean grip OHS</t>
  </si>
  <si>
    <t>LIFT_CLEAN_GRIP_OHS_1RM</t>
  </si>
  <si>
    <t>10W_SQUAT_2-B-02</t>
  </si>
  <si>
    <t>MOV_THRUSTER/DU</t>
  </si>
  <si>
    <t>Thurster and DU for EMOM</t>
  </si>
  <si>
    <t>MOV_DU/Burpee</t>
  </si>
  <si>
    <t>DU and Burpees</t>
  </si>
  <si>
    <t>MOV_TTB/Thrusters</t>
  </si>
  <si>
    <t>TTB and Thrusters</t>
  </si>
  <si>
    <t>Open Prep</t>
  </si>
  <si>
    <t>30 and 8</t>
  </si>
  <si>
    <t>6 and 6</t>
  </si>
  <si>
    <t>MOV_RUN_400</t>
  </si>
  <si>
    <t>MOV_RUN_1K</t>
  </si>
  <si>
    <t>400m run</t>
  </si>
  <si>
    <t>1km run</t>
  </si>
  <si>
    <t>MOV_TIB_RAISE</t>
  </si>
  <si>
    <t>Tibialis Raise</t>
  </si>
  <si>
    <t>MOV_ATG_SS</t>
  </si>
  <si>
    <t>ATG Split Squat</t>
  </si>
  <si>
    <t>MOV_PATRICK</t>
  </si>
  <si>
    <t>Patrick Step</t>
  </si>
  <si>
    <t>MOV_SOTTS_PR</t>
  </si>
  <si>
    <t>Sotts Press</t>
  </si>
  <si>
    <t>MOV_JEFF_CURL</t>
  </si>
  <si>
    <t>Jefferson Curl</t>
  </si>
  <si>
    <t>MOV_DL_PAUSE</t>
  </si>
  <si>
    <t>Paused Deadlift</t>
  </si>
  <si>
    <t>MOV_Z_PRESS</t>
  </si>
  <si>
    <t>Z-Press</t>
  </si>
  <si>
    <t>MOV_HIP_BAR</t>
  </si>
  <si>
    <t>BMU Hip-to-Bar Drill</t>
  </si>
  <si>
    <t>PHASE_ONE_2026</t>
  </si>
  <si>
    <t>PHASE ONE FOR 2026</t>
  </si>
  <si>
    <t>PRG_PHASE_ONE_FOR_2026_20260209_001</t>
  </si>
  <si>
    <t>PHASE_ONE_2026-A-01</t>
  </si>
  <si>
    <t>MOV_PISTOL_NEG</t>
  </si>
  <si>
    <t>Pistol Squat Neg</t>
  </si>
  <si>
    <t>5secs eccentric</t>
  </si>
  <si>
    <t>PHASE_ONE_2026-B-02</t>
  </si>
  <si>
    <t>MOV_HSW_TAP</t>
  </si>
  <si>
    <t>Handstand Walk Taps</t>
  </si>
  <si>
    <t>MOV_ELEPHANT</t>
  </si>
  <si>
    <t>Elephant Walk</t>
  </si>
  <si>
    <t>PHASE_ONE_2026-C-01</t>
  </si>
  <si>
    <t>MOV_STRICT_C2B</t>
  </si>
  <si>
    <t>Strict Chest to Bar</t>
  </si>
  <si>
    <t>MOV_COUCH_STR</t>
  </si>
  <si>
    <t>Couch Stretch</t>
  </si>
  <si>
    <t>PHASE_ONE_2026-B-01</t>
  </si>
  <si>
    <t>PHASE_ONE_2026-D-01</t>
  </si>
  <si>
    <t>MOV_KOT_CALF</t>
  </si>
  <si>
    <t>KOT Calf Rasiers</t>
  </si>
  <si>
    <t>2secs pause</t>
  </si>
  <si>
    <t>PHASE_ONE_2026-E-01</t>
  </si>
  <si>
    <t>PHASE_ONE_2026-A-02</t>
  </si>
  <si>
    <t>PHASE_ONE_2026-C-03</t>
  </si>
  <si>
    <t>PHASE_ONE_2026-C-02</t>
  </si>
  <si>
    <t>PHASE_ONE_2026-D-02</t>
  </si>
  <si>
    <t>PHASE_ONE_2026-E-02</t>
  </si>
  <si>
    <t>PHASE_ONE_2026-A-03</t>
  </si>
  <si>
    <t>PHASE_ONE_2026-B-03</t>
  </si>
  <si>
    <t>PHASE_ONE_2026-D-03</t>
  </si>
  <si>
    <t>PHASE_ONE_2026-E-03</t>
  </si>
  <si>
    <t>PHASE_ONE_2026-A-04</t>
  </si>
  <si>
    <t>PHASE_ONE_2026-B-04</t>
  </si>
  <si>
    <t>PHASE_ONE_2026-C-04</t>
  </si>
  <si>
    <t>PHASE_ONE_2026-D-04</t>
  </si>
  <si>
    <t>PHASE_ONE_2026-E-04</t>
  </si>
  <si>
    <t>PHASE_ONE_2026-A-05</t>
  </si>
  <si>
    <t>PHASE_ONE_2026-B-05</t>
  </si>
  <si>
    <t>PHASE_ONE_2026-C-05</t>
  </si>
  <si>
    <t>PHASE_ONE_2026-D-05</t>
  </si>
  <si>
    <t>PHASE_ONE_2026-E-05</t>
  </si>
  <si>
    <t>PHASE_ONE_2026-A-06</t>
  </si>
  <si>
    <t>PHASE_ONE_2026-B-06</t>
  </si>
  <si>
    <t>PHASE_ONE_2026-C-06</t>
  </si>
  <si>
    <t>PHASE_ONE_2026-D-06</t>
  </si>
  <si>
    <t>PHASE_ONE_2026-E-06</t>
  </si>
  <si>
    <t>2 sec pause at top</t>
  </si>
  <si>
    <t>3 sec pause at top</t>
  </si>
  <si>
    <t>15kg bar</t>
  </si>
  <si>
    <t>20kg bar</t>
  </si>
  <si>
    <t>To bench no assist</t>
  </si>
  <si>
    <t>ring assisted</t>
  </si>
  <si>
    <t>PVC</t>
  </si>
  <si>
    <t>2 sec pauses</t>
  </si>
  <si>
    <t xml:space="preserve">2 sec pauses </t>
  </si>
  <si>
    <t>MOV_PEC_STRETCH</t>
  </si>
  <si>
    <t>Weighted Pec stretch</t>
  </si>
  <si>
    <t>MOV_CROW_POSE</t>
  </si>
  <si>
    <t>Crow Pose</t>
  </si>
  <si>
    <t>This si to help with handstand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</si>
</sst>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4" fontId="3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20" fontId="0" fillId="0" borderId="0" xfId="0" applyNumberFormat="1" applyAlignment="1">
      <alignment horizontal="center"/>
    </xf>
    <xf numFmtId="0" fontId="6" fillId="0" borderId="0" xfId="0" applyFont="1"/>
    <xf numFmtId="16" fontId="0" fillId="0" borderId="0" xfId="0" applyNumberFormat="1"/>
  </cellXfs>
  <cellStyles count="2">
    <cellStyle name="Normal" xfId="0" builtinId="0"/>
    <cellStyle name="Percent" xfId="1" builtinId="5"/>
  </cellStyles>
  <dxfs count="75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/>
    </dxf>
    <dxf>
      <alignment horizontal="general" vertical="center"/>
    </dxf>
    <dxf>
      <numFmt numFmtId="164" formatCode="d/mm/yyyy;@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/>
    </dxf>
    <dxf>
      <numFmt numFmtId="0" formatCode="General"/>
    </dxf>
    <dxf>
      <alignment horizontal="center" vertical="bottom"/>
    </dxf>
    <dxf>
      <alignment horizontal="center" vertical="bottom"/>
    </dxf>
    <dxf>
      <alignment horizontal="center"/>
    </dxf>
    <dxf>
      <numFmt numFmtId="19" formatCode="d/mm/yyyy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9" formatCode="d/mm/yyyy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63AF21-72E3-430D-9D90-69BD9CC632A7}" name="Table15" displayName="Table15" ref="A1:A4" totalsRowShown="0">
  <autoFilter ref="A1:A4" xr:uid="{E263AF21-72E3-430D-9D90-69BD9CC632A7}"/>
  <sortState xmlns:xlrd2="http://schemas.microsoft.com/office/spreadsheetml/2017/richdata2" ref="A2:A4">
    <sortCondition ref="A1:A4"/>
  </sortState>
  <tableColumns count="1">
    <tableColumn id="1" xr3:uid="{F2A73FEE-EDA5-4983-990B-30A3431B4B03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70C40D6-2126-4FE7-9E5C-BFD178159B69}" name="DVLOADSOURCE" displayName="DVLOADSOURCE" ref="C1:C4" totalsRowShown="0">
  <autoFilter ref="C1:C4" xr:uid="{370C40D6-2126-4FE7-9E5C-BFD178159B69}"/>
  <tableColumns count="1">
    <tableColumn id="1" xr3:uid="{1060CB39-A350-42B1-AE8D-472069120347}" name="DV_LoadSour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0" displayName="Table10" ref="A1:B6" totalsRowShown="0" headerRowDxfId="74" headerRowBorderDxfId="73" tableBorderDxfId="72">
  <autoFilter ref="A1:B6" xr:uid="{00000000-0009-0000-0100-000001000000}"/>
  <tableColumns count="2">
    <tableColumn id="1" xr3:uid="{00000000-0010-0000-0000-000001000000}" name="Field"/>
    <tableColumn id="2" xr3:uid="{00000000-0010-0000-0000-000002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enchmarks" displayName="Benchmarks" ref="A1:H61" totalsRowShown="0" headerRowDxfId="71" headerRowBorderDxfId="70" tableBorderDxfId="69">
  <autoFilter ref="A1:H61" xr:uid="{00000000-0009-0000-0100-000002000000}"/>
  <sortState xmlns:xlrd2="http://schemas.microsoft.com/office/spreadsheetml/2017/richdata2" ref="A2:H59">
    <sortCondition ref="A1:A59"/>
  </sortState>
  <tableColumns count="8">
    <tableColumn id="1" xr3:uid="{00000000-0010-0000-0100-000001000000}" name="BenchmarkID"/>
    <tableColumn id="2" xr3:uid="{00000000-0010-0000-0100-000002000000}" name="Name"/>
    <tableColumn id="9" xr3:uid="{00000000-0010-0000-0100-000009000000}" name="Domain" dataDxfId="68">
      <calculatedColumnFormula array="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calculatedColumnFormula>
    </tableColumn>
    <tableColumn id="3" xr3:uid="{00000000-0010-0000-0100-000003000000}" name="ScoreType" dataDxfId="67"/>
    <tableColumn id="4" xr3:uid="{00000000-0010-0000-0100-000004000000}" name="Unit" dataDxfId="66"/>
    <tableColumn id="5" xr3:uid="{00000000-0010-0000-0100-000005000000}" name="Target_40_44" dataDxfId="65"/>
    <tableColumn id="6" xr3:uid="{00000000-0010-0000-0100-000006000000}" name="BetterIs" dataDxfId="64"/>
    <tableColumn id="7" xr3:uid="{00000000-0010-0000-0100-000007000000}" name="Notes" dataDxfId="6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276F8F6-BF61-4CCA-B517-1C979C202E29}" name="BenchMarksOther" displayName="BenchMarksOther" ref="A1:J7" totalsRowShown="0" headerRowDxfId="62" dataDxfId="61">
  <autoFilter ref="A1:J7" xr:uid="{0276F8F6-BF61-4CCA-B517-1C979C202E29}"/>
  <tableColumns count="10">
    <tableColumn id="1" xr3:uid="{59ACDA8E-4A96-4A86-8CEF-769951B5AA1A}" name="Benchmark"/>
    <tableColumn id="2" xr3:uid="{567D625A-3343-44D3-B84B-4BBACBDA818B}" name="Standard"/>
    <tableColumn id="3" xr3:uid="{DD7ABE58-1D9D-4EED-A3D5-47BCC7C83CB2}" name="Level 1" dataDxfId="60"/>
    <tableColumn id="8" xr3:uid="{975B410D-152C-4297-A72B-7CEB75C11972}" name="Level 1 Met" dataDxfId="59"/>
    <tableColumn id="4" xr3:uid="{5FD47AE4-82B7-4087-8D05-44E810D4FF0D}" name="Level 2" dataDxfId="58"/>
    <tableColumn id="9" xr3:uid="{71AA4DCF-6082-45E9-863A-D9D1A604A905}" name="Level 2 Met" dataDxfId="57"/>
    <tableColumn id="5" xr3:uid="{0B662A36-276E-4CAD-A308-18BE97AA5CBC}" name="Elite" dataDxfId="56"/>
    <tableColumn id="10" xr3:uid="{3E4F0769-95B4-4C75-B99E-82E16CFE4EE6}" name="Elite Met" dataDxfId="55"/>
    <tableColumn id="6" xr3:uid="{76785BA8-4B62-4AA6-BFA1-D9AF9DB66FBF}" name="Units" dataDxfId="54"/>
    <tableColumn id="7" xr3:uid="{490B1A74-1022-4309-8907-2C0ABAE8CE31}" name="Notes" dataDxfId="5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enchmarkResults" displayName="BenchmarkResults" ref="A1:F28" totalsRowShown="0" headerRowDxfId="52" headerRowBorderDxfId="51" tableBorderDxfId="50">
  <autoFilter ref="A1:F28" xr:uid="{00000000-0009-0000-0100-000003000000}"/>
  <tableColumns count="6">
    <tableColumn id="1" xr3:uid="{00000000-0010-0000-0200-000001000000}" name="ResultID"/>
    <tableColumn id="2" xr3:uid="{00000000-0010-0000-0200-000002000000}" name="BenchmarkID"/>
    <tableColumn id="3" xr3:uid="{00000000-0010-0000-0200-000003000000}" name="Date" dataDxfId="49"/>
    <tableColumn id="4" xr3:uid="{00000000-0010-0000-0200-000004000000}" name="Score"/>
    <tableColumn id="5" xr3:uid="{00000000-0010-0000-0200-000005000000}" name="Scaling"/>
    <tableColumn id="6" xr3:uid="{00000000-0010-0000-0200-000006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nchmarkMap" displayName="BenchmarkMap" ref="A1:B12" totalsRowShown="0">
  <autoFilter ref="A1:B12" xr:uid="{00000000-0009-0000-0100-000004000000}"/>
  <tableColumns count="2">
    <tableColumn id="1" xr3:uid="{00000000-0010-0000-0300-000001000000}" name="MovementID"/>
    <tableColumn id="2" xr3:uid="{00000000-0010-0000-0300-000002000000}" name="BenchmarkI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vementLibrary" displayName="MovementLibrary" ref="A1:J226" totalsRowShown="0" headerRowDxfId="48" headerRowBorderDxfId="47" tableBorderDxfId="46">
  <autoFilter ref="A1:J226" xr:uid="{00000000-0009-0000-0100-000005000000}"/>
  <tableColumns count="10">
    <tableColumn id="1" xr3:uid="{00000000-0010-0000-0400-000001000000}" name="MovementID"/>
    <tableColumn id="2" xr3:uid="{00000000-0010-0000-0400-000002000000}" name="Name"/>
    <tableColumn id="3" xr3:uid="{00000000-0010-0000-0400-000003000000}" name="Modality"/>
    <tableColumn id="4" xr3:uid="{00000000-0010-0000-0400-000004000000}" name="Category"/>
    <tableColumn id="5" xr3:uid="{00000000-0010-0000-0400-000005000000}" name="Unit"/>
    <tableColumn id="6" xr3:uid="{00000000-0010-0000-0400-000006000000}" name="Notes"/>
    <tableColumn id="7" xr3:uid="{C6F788C3-A819-434F-9076-2DB7D83796D3}" name="LoadSource"/>
    <tableColumn id="8" xr3:uid="{16539A77-3EA0-4CC8-9ACB-C2EB7A1E86A5}" name="LoadRefMovementID"/>
    <tableColumn id="9" xr3:uid="{649D67AB-28D7-46E3-87F1-66DD81E0A67E}" name="DefaultPercentOfRef"/>
    <tableColumn id="10" xr3:uid="{FB86489A-964E-4324-BAE8-BCF0A59405B2}" name="RoundingIncrem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TGLog" displayName="GTGLog" ref="A1:F2" insertRow="1" totalsRowShown="0">
  <autoFilter ref="A1:F2" xr:uid="{00000000-0009-0000-0100-000006000000}"/>
  <tableColumns count="6">
    <tableColumn id="1" xr3:uid="{00000000-0010-0000-0500-000001000000}" name="Date"/>
    <tableColumn id="2" xr3:uid="{00000000-0010-0000-0500-000002000000}" name="MovementID"/>
    <tableColumn id="3" xr3:uid="{00000000-0010-0000-0500-000003000000}" name="Sets"/>
    <tableColumn id="4" xr3:uid="{00000000-0010-0000-0500-000004000000}" name="Reps"/>
    <tableColumn id="5" xr3:uid="{00000000-0010-0000-0500-000005000000}" name="Load"/>
    <tableColumn id="6" xr3:uid="{00000000-0010-0000-0500-000006000000}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grams" displayName="Programs" ref="A1:G12" totalsRowShown="0">
  <autoFilter ref="A1:G12" xr:uid="{00000000-0009-0000-0100-000007000000}"/>
  <tableColumns count="7">
    <tableColumn id="1" xr3:uid="{00000000-0010-0000-0600-000001000000}" name="ProgramID">
      <calculatedColumnFormula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calculatedColumnFormula>
    </tableColumn>
    <tableColumn id="6" xr3:uid="{00000000-0010-0000-0600-000006000000}" name="ProgramCode"/>
    <tableColumn id="2" xr3:uid="{00000000-0010-0000-0600-000002000000}" name="Name"/>
    <tableColumn id="8" xr3:uid="{04FAACE7-5390-4EE7-988B-763BE6E41A4D}" name="Status"/>
    <tableColumn id="3" xr3:uid="{00000000-0010-0000-0600-000003000000}" name="StartDate" dataDxfId="45"/>
    <tableColumn id="4" xr3:uid="{00000000-0010-0000-0600-000004000000}" name="EndDate" dataDxfId="44"/>
    <tableColumn id="5" xr3:uid="{00000000-0010-0000-0600-000005000000}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ssions" displayName="Sessions" ref="A1:I310" totalsRowShown="0" headerRowDxfId="43" headerRowBorderDxfId="42" tableBorderDxfId="41">
  <autoFilter ref="A1:I310" xr:uid="{00000000-0009-0000-0100-000008000000}"/>
  <tableColumns count="9">
    <tableColumn id="6" xr3:uid="{00000000-0010-0000-0700-000006000000}" name="ProgramID"/>
    <tableColumn id="3" xr3:uid="{00000000-0010-0000-0700-000003000000}" name="ProgramCode" dataDxfId="40">
      <calculatedColumnFormula>_xlfn.XLOOKUP(Sessions[[#This Row],[ProgramID]], Programs[ProgramID], Programs[ProgramCode], "")</calculatedColumnFormula>
    </tableColumn>
    <tableColumn id="4" xr3:uid="{00000000-0010-0000-0700-000004000000}" name="SessionCode" dataDxfId="39"/>
    <tableColumn id="5" xr3:uid="{00000000-0010-0000-0700-000005000000}" name="SessionOrder" dataDxfId="38">
      <calculatedColumnFormula array="1">SUMPRODUCT( (Sessions[ProgramCode]=Sessions[[#This Row],[ProgramCode]]) *
             (Sessions[SessionCode]=Sessions[[#This Row],[SessionCode]]) *
             (ROW(Sessions[ProgramCode]) &lt;= ROW(Sessions[[#This Row],[ProgramCode]])) )</calculatedColumnFormula>
    </tableColumn>
    <tableColumn id="9" xr3:uid="{00000000-0010-0000-0700-000009000000}" name="SessionID" dataDxfId="37">
      <calculatedColumnFormula>Sessions[[#This Row],[ProgramCode]] &amp; "-" &amp; Sessions[[#This Row],[SessionCode]] &amp; "-" &amp; TEXT(Sessions[[#This Row],[SessionOrder]],"00")</calculatedColumnFormula>
    </tableColumn>
    <tableColumn id="10" xr3:uid="{00000000-0010-0000-0700-00000A000000}" name="SessionLabel" dataDxfId="36">
      <calculatedColumnFormula>Sessions[[#This Row],[ProgramCode]] &amp; " – Session " &amp; Sessions[[#This Row],[SessionCode]] &amp; " (Week " &amp; Sessions[[#This Row],[SessionOrder]] &amp; ")"</calculatedColumnFormula>
    </tableColumn>
    <tableColumn id="2" xr3:uid="{00000000-0010-0000-0700-000002000000}" name="Date" dataDxfId="35"/>
    <tableColumn id="7" xr3:uid="{00000000-0010-0000-0700-000007000000}" name="SessionName" dataDxfId="34"/>
    <tableColumn id="8" xr3:uid="{00000000-0010-0000-0700-000008000000}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ssionMovements" displayName="SessionMovements" ref="A1:L1141" totalsRowShown="0">
  <autoFilter ref="A1:L1141" xr:uid="{00000000-0009-0000-0100-000009000000}"/>
  <tableColumns count="12">
    <tableColumn id="2" xr3:uid="{00000000-0010-0000-0800-000002000000}" name="SessionID"/>
    <tableColumn id="3" xr3:uid="{00000000-0010-0000-0800-000003000000}" name="MovementID"/>
    <tableColumn id="9" xr3:uid="{00000000-0010-0000-0800-000009000000}" name="MovName">
      <calculatedColumnFormula>IF(SessionMovements[[#This Row],[MovementID]]="","",
   _xlfn.XLOOKUP(SessionMovements[[#This Row],[MovementID]],MovementLibrary[MovementID],MovementLibrary[Name],"")
)</calculatedColumnFormula>
    </tableColumn>
    <tableColumn id="11" xr3:uid="{00000000-0010-0000-0800-00000B000000}" name="Modality" dataDxfId="33">
      <calculatedColumnFormula>IF(SessionMovements[[#This Row],[MovementID]]="","",
   _xlfn.XLOOKUP(SessionMovements[[#This Row],[MovementID]], MovementLibrary[MovementID], MovementLibrary[Modality], "")
)</calculatedColumnFormula>
    </tableColumn>
    <tableColumn id="10" xr3:uid="{00000000-0010-0000-0800-00000A000000}" name="Unit" dataDxfId="32">
      <calculatedColumnFormula>IF(SessionMovements[[#This Row],[MovementID]]="","",
   _xlfn.XLOOKUP(SessionMovements[[#This Row],[MovementID]], MovementLibrary[MovementID], MovementLibrary[Unit], "")
)</calculatedColumnFormula>
    </tableColumn>
    <tableColumn id="12" xr3:uid="{00000000-0010-0000-0800-00000C000000}" name="Volume (kg)">
      <calculatedColumnFormula>IF( AND(ISNUMBER(#REF!), ISNUMBER(SessionMovements[[#This Row],[Sets]]), ISNUMBER(SessionMovements[[#This Row],[Reps]]), SessionMovements[[#This Row],[Unit]]="kg"),
     #REF!*SessionMovements[[#This Row],[Sets]]*SessionMovements[[#This Row],[Reps]],
     ""
)</calculatedColumnFormula>
    </tableColumn>
    <tableColumn id="4" xr3:uid="{00000000-0010-0000-0800-000004000000}" name="Sets"/>
    <tableColumn id="5" xr3:uid="{00000000-0010-0000-0800-000005000000}" name="Reps"/>
    <tableColumn id="6" xr3:uid="{00000000-0010-0000-0800-000006000000}" name="Load"/>
    <tableColumn id="7" xr3:uid="{00000000-0010-0000-0800-000007000000}" name="%1RM" dataDxfId="31"/>
    <tableColumn id="8" xr3:uid="{00000000-0010-0000-0800-000008000000}" name="Notes"/>
    <tableColumn id="1" xr3:uid="{00000000-0010-0000-0800-000001000000}" name="CheckSession" dataDxfId="30">
      <calculatedColumnFormula>IF(COUNTIF(Sessions[SessionID],SessionMovements[[#This Row],[SessionID]])=0,"❌ Missing","✔ OK")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adinessDaily" displayName="ReadinessDaily" ref="A1:F2" totalsRowShown="0" headerRowDxfId="29" headerRowBorderDxfId="28" tableBorderDxfId="27">
  <autoFilter ref="A1:F2" xr:uid="{00000000-0009-0000-0100-00000A000000}"/>
  <tableColumns count="6">
    <tableColumn id="1" xr3:uid="{00000000-0010-0000-0900-000001000000}" name="Date"/>
    <tableColumn id="2" xr3:uid="{00000000-0010-0000-0900-000002000000}" name="SleepH"/>
    <tableColumn id="3" xr3:uid="{00000000-0010-0000-0900-000003000000}" name="HRV"/>
    <tableColumn id="4" xr3:uid="{00000000-0010-0000-0900-000004000000}" name="RestingHR"/>
    <tableColumn id="5" xr3:uid="{00000000-0010-0000-0900-000005000000}" name="Soreness_1_10"/>
    <tableColumn id="6" xr3:uid="{00000000-0010-0000-0900-000006000000}" name="Readiness_1_1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ilestones" displayName="Milestones" ref="A1:E4" totalsRowShown="0" headerRowDxfId="26" headerRowBorderDxfId="25" tableBorderDxfId="24">
  <autoFilter ref="A1:E4" xr:uid="{00000000-0009-0000-0100-00000B000000}"/>
  <tableColumns count="5">
    <tableColumn id="1" xr3:uid="{00000000-0010-0000-0A00-000001000000}" name="MilestoneID"/>
    <tableColumn id="2" xr3:uid="{00000000-0010-0000-0A00-000002000000}" name="Name"/>
    <tableColumn id="3" xr3:uid="{00000000-0010-0000-0A00-000003000000}" name="Gate"/>
    <tableColumn id="4" xr3:uid="{00000000-0010-0000-0A00-000004000000}" name="Achieved_YN"/>
    <tableColumn id="5" xr3:uid="{00000000-0010-0000-0A00-000005000000}" name="Dat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lanRules" displayName="PlanRules" ref="A1:E4" totalsRowShown="0" headerRowDxfId="23" headerRowBorderDxfId="22" tableBorderDxfId="21">
  <autoFilter ref="A1:E4" xr:uid="{00000000-0009-0000-0100-00000C000000}"/>
  <tableColumns count="5">
    <tableColumn id="1" xr3:uid="{00000000-0010-0000-0B00-000001000000}" name="RuleID"/>
    <tableColumn id="2" xr3:uid="{00000000-0010-0000-0B00-000002000000}" name="Trigger"/>
    <tableColumn id="3" xr3:uid="{00000000-0010-0000-0B00-000003000000}" name="Adjustment"/>
    <tableColumn id="4" xr3:uid="{00000000-0010-0000-0B00-000004000000}" name="Notes"/>
    <tableColumn id="5" xr3:uid="{00000000-0010-0000-0B00-000005000000}" name="Reserved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GapAnalysis" displayName="GapAnalysis" ref="A1:K16" totalsRowShown="0" headerRowDxfId="20" headerRowBorderDxfId="19" tableBorderDxfId="18">
  <autoFilter ref="A1:K16" xr:uid="{00000000-0009-0000-0100-00000D000000}"/>
  <tableColumns count="11">
    <tableColumn id="1" xr3:uid="{00000000-0010-0000-0C00-000001000000}" name="BenchmarkID"/>
    <tableColumn id="2" xr3:uid="{00000000-0010-0000-0C00-000002000000}" name="Name"/>
    <tableColumn id="10" xr3:uid="{00000000-0010-0000-0C00-00000A000000}" name="Domain" dataDxfId="17">
      <calculatedColumnFormula>_xlfn.XLOOKUP(GapAnalysis[[#This Row],[BenchmarkID]], Benchmarks[BenchmarkID], Benchmarks[Domain], "")</calculatedColumnFormula>
    </tableColumn>
    <tableColumn id="3" xr3:uid="{00000000-0010-0000-0C00-000003000000}" name="ScoreType" dataDxfId="16"/>
    <tableColumn id="4" xr3:uid="{00000000-0010-0000-0C00-000004000000}" name="Unit" dataDxfId="15"/>
    <tableColumn id="5" xr3:uid="{00000000-0010-0000-0C00-000005000000}" name="Target_40_44" dataDxfId="14">
      <calculatedColumnFormula>_xlfn.XLOOKUP(GapAnalysis[[#This Row],[BenchmarkID]], Benchmarks[BenchmarkID], Benchmarks[Target_40_44], "")</calculatedColumnFormula>
    </tableColumn>
    <tableColumn id="6" xr3:uid="{00000000-0010-0000-0C00-000006000000}" name="BetterIs" dataDxfId="13"/>
    <tableColumn id="7" xr3:uid="{00000000-0010-0000-0C00-000007000000}" name="Current" dataDxfId="12">
      <calculatedColumnFormula array="1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calculatedColumnFormula>
    </tableColumn>
    <tableColumn id="8" xr3:uid="{00000000-0010-0000-0C00-000008000000}" name="%ToTarget" dataDxfId="11" dataCellStyle="Percent">
      <calculatedColumnFormula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calculatedColumnFormula>
    </tableColumn>
    <tableColumn id="9" xr3:uid="{00000000-0010-0000-0C00-000009000000}" name="GapNote" dataDxfId="10">
      <calculatedColumnFormula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calculatedColumnFormula>
    </tableColumn>
    <tableColumn id="11" xr3:uid="{00000000-0010-0000-0C00-00000B000000}" name="LastTested" dataDxfId="9">
      <calculatedColumnFormula array="1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R_History" displayName="PR_History" ref="A1:I18" totalsRowShown="0">
  <autoFilter ref="A1:I18" xr:uid="{00000000-0009-0000-0100-00000E000000}"/>
  <tableColumns count="9">
    <tableColumn id="1" xr3:uid="{00000000-0010-0000-0D00-000001000000}" name="Date" dataDxfId="8"/>
    <tableColumn id="2" xr3:uid="{00000000-0010-0000-0D00-000002000000}" name="BenchmarkID" dataDxfId="7"/>
    <tableColumn id="3" xr3:uid="{00000000-0010-0000-0D00-000003000000}" name="Movement Name" dataDxfId="6"/>
    <tableColumn id="4" xr3:uid="{00000000-0010-0000-0D00-000004000000}" name="ScoreType" dataDxfId="5"/>
    <tableColumn id="5" xr3:uid="{00000000-0010-0000-0D00-000005000000}" name="Unit" dataDxfId="4"/>
    <tableColumn id="6" xr3:uid="{00000000-0010-0000-0D00-000006000000}" name="Result" dataDxfId="3"/>
    <tableColumn id="7" xr3:uid="{00000000-0010-0000-0D00-000007000000}" name="Notes" dataDxfId="2"/>
    <tableColumn id="8" xr3:uid="{00000000-0010-0000-0D00-000008000000}" name="IsPR" dataDxfId="1">
      <calculatedColumnFormula>PR_History[[#This Row],[Result]] =
 _xlfn.MAXIFS(
   PR_History[Result],
   PR_History[Movement Name], PR_History[[#This Row],[Movement Name]],
   PR_History[ScoreType], PR_History[[#This Row],[ScoreType]],
   PR_History[Unit], PR_History[[#This Row],[Unit]]
 )</calculatedColumnFormula>
    </tableColumn>
    <tableColumn id="9" xr3:uid="{00000000-0010-0000-0D00-000009000000}" name="IsLatestPR" dataDxfId="0">
      <calculatedColumnFormula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6AA66A-9566-4009-A0DE-8F86776BE5AE}" name="OneRMs" displayName="OneRMs" ref="A1:E15" totalsRowShown="0">
  <autoFilter ref="A1:E15" xr:uid="{946AA66A-9566-4009-A0DE-8F86776BE5AE}"/>
  <tableColumns count="5">
    <tableColumn id="1" xr3:uid="{B227E2BC-7B99-4FCD-A3D3-27CE4F0FA5D5}" name="MovementID"/>
    <tableColumn id="2" xr3:uid="{4AF3BFF2-49A4-4731-A90D-2EF2BF10F6FA}" name="OneRM"/>
    <tableColumn id="3" xr3:uid="{1591A08C-B761-459C-AA22-DE4DE8D477A9}" name="UpdatedAt"/>
    <tableColumn id="4" xr3:uid="{A944A81D-3A0B-47B5-B10E-BBEFBFBC92A7}" name="Source"/>
    <tableColumn id="5" xr3:uid="{C5D7B377-F85C-41F1-BB50-9D9F99A8EA45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3017-6B19-46CA-BFA8-AC9C4DF168F6}">
  <dimension ref="A1:C4"/>
  <sheetViews>
    <sheetView workbookViewId="0">
      <selection activeCell="H13" sqref="H13"/>
    </sheetView>
  </sheetViews>
  <sheetFormatPr defaultRowHeight="14.4" x14ac:dyDescent="0.3"/>
  <cols>
    <col min="1" max="1" width="9.44140625" bestFit="1" customWidth="1"/>
    <col min="3" max="3" width="15.88671875" customWidth="1"/>
  </cols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 t="s">
        <v>3</v>
      </c>
    </row>
    <row r="3" spans="1:3" x14ac:dyDescent="0.3">
      <c r="A3" t="s">
        <v>4</v>
      </c>
      <c r="C3" t="s">
        <v>5</v>
      </c>
    </row>
    <row r="4" spans="1:3" x14ac:dyDescent="0.3">
      <c r="A4" t="s">
        <v>6</v>
      </c>
      <c r="C4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1" sqref="F1:F1048576"/>
    </sheetView>
  </sheetViews>
  <sheetFormatPr defaultRowHeight="14.4" x14ac:dyDescent="0.3"/>
  <cols>
    <col min="1" max="1" width="11.109375" bestFit="1" customWidth="1"/>
    <col min="2" max="2" width="115" bestFit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  <row r="6" spans="1:2" x14ac:dyDescent="0.3">
      <c r="A6" t="s">
        <v>18</v>
      </c>
      <c r="B6" t="s">
        <v>19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opLeftCell="A7" workbookViewId="0">
      <selection activeCell="K12" sqref="K12"/>
    </sheetView>
  </sheetViews>
  <sheetFormatPr defaultRowHeight="14.4" x14ac:dyDescent="0.3"/>
  <cols>
    <col min="1" max="1" width="22.5546875" customWidth="1"/>
    <col min="2" max="2" width="35.5546875" bestFit="1" customWidth="1"/>
    <col min="3" max="3" width="12" style="5" bestFit="1" customWidth="1"/>
    <col min="4" max="4" width="14.109375" style="5" bestFit="1" customWidth="1"/>
    <col min="5" max="5" width="9" style="5" bestFit="1" customWidth="1"/>
    <col min="6" max="6" width="16.6640625" style="5" bestFit="1" customWidth="1"/>
    <col min="7" max="7" width="12" style="5" bestFit="1" customWidth="1"/>
    <col min="8" max="8" width="38.88671875" style="5" bestFit="1" customWidth="1"/>
  </cols>
  <sheetData>
    <row r="1" spans="1:8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9</v>
      </c>
    </row>
    <row r="2" spans="1:8" x14ac:dyDescent="0.3">
      <c r="A2" t="s">
        <v>27</v>
      </c>
      <c r="B2" t="s">
        <v>28</v>
      </c>
      <c r="C2" s="5" t="str">
        <f t="array" ref="C2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" s="5" t="s">
        <v>29</v>
      </c>
      <c r="E2" s="5" t="s">
        <v>29</v>
      </c>
      <c r="F2" s="5">
        <v>50</v>
      </c>
      <c r="G2" s="5" t="s">
        <v>30</v>
      </c>
      <c r="H2" s="5" t="s">
        <v>31</v>
      </c>
    </row>
    <row r="3" spans="1:8" x14ac:dyDescent="0.3">
      <c r="A3" t="s">
        <v>32</v>
      </c>
      <c r="B3" t="s">
        <v>33</v>
      </c>
      <c r="C3" s="5" t="str">
        <f t="array" ref="C3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3" s="5" t="s">
        <v>29</v>
      </c>
      <c r="E3" s="5" t="s">
        <v>29</v>
      </c>
      <c r="F3" s="5">
        <v>20</v>
      </c>
      <c r="G3" s="5" t="s">
        <v>30</v>
      </c>
      <c r="H3" s="5" t="s">
        <v>34</v>
      </c>
    </row>
    <row r="4" spans="1:8" x14ac:dyDescent="0.3">
      <c r="A4" t="s">
        <v>35</v>
      </c>
      <c r="B4" t="s">
        <v>36</v>
      </c>
      <c r="C4" s="5" t="str">
        <f t="array" ref="C4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4" s="5" t="s">
        <v>29</v>
      </c>
      <c r="E4" s="5" t="s">
        <v>29</v>
      </c>
      <c r="F4" s="5">
        <v>50</v>
      </c>
      <c r="G4" s="5" t="s">
        <v>30</v>
      </c>
      <c r="H4" s="5" t="s">
        <v>37</v>
      </c>
    </row>
    <row r="5" spans="1:8" x14ac:dyDescent="0.3">
      <c r="A5" t="s">
        <v>38</v>
      </c>
      <c r="B5" t="s">
        <v>39</v>
      </c>
      <c r="C5" s="5" t="str">
        <f t="array" ref="C5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5" s="5" t="s">
        <v>29</v>
      </c>
      <c r="E5" s="5" t="s">
        <v>29</v>
      </c>
      <c r="F5" s="5">
        <v>150</v>
      </c>
      <c r="G5" s="5" t="s">
        <v>30</v>
      </c>
      <c r="H5" s="5" t="s">
        <v>40</v>
      </c>
    </row>
    <row r="6" spans="1:8" x14ac:dyDescent="0.3">
      <c r="A6" t="s">
        <v>41</v>
      </c>
      <c r="B6" t="s">
        <v>42</v>
      </c>
      <c r="C6" s="5" t="str">
        <f t="array" ref="C6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6" s="5" t="s">
        <v>43</v>
      </c>
      <c r="E6" s="5" t="s">
        <v>44</v>
      </c>
      <c r="F6" s="5">
        <v>450</v>
      </c>
      <c r="G6" s="5" t="s">
        <v>45</v>
      </c>
      <c r="H6" s="5" t="s">
        <v>46</v>
      </c>
    </row>
    <row r="7" spans="1:8" x14ac:dyDescent="0.3">
      <c r="A7" t="s">
        <v>47</v>
      </c>
      <c r="B7" t="s">
        <v>48</v>
      </c>
      <c r="C7" s="5" t="str">
        <f t="array" ref="C7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7" s="5" t="s">
        <v>43</v>
      </c>
      <c r="E7" s="5" t="s">
        <v>44</v>
      </c>
      <c r="F7" s="5">
        <v>90</v>
      </c>
      <c r="G7" s="5" t="s">
        <v>45</v>
      </c>
      <c r="H7" s="5" t="s">
        <v>49</v>
      </c>
    </row>
    <row r="8" spans="1:8" x14ac:dyDescent="0.3">
      <c r="A8" t="s">
        <v>50</v>
      </c>
      <c r="B8" t="s">
        <v>51</v>
      </c>
      <c r="C8" s="5" t="str">
        <f t="array" ref="C8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8" s="5" t="s">
        <v>43</v>
      </c>
      <c r="E8" s="5" t="s">
        <v>44</v>
      </c>
      <c r="F8" s="5">
        <v>1200</v>
      </c>
      <c r="G8" s="5" t="s">
        <v>45</v>
      </c>
    </row>
    <row r="9" spans="1:8" x14ac:dyDescent="0.3">
      <c r="A9" t="s">
        <v>52</v>
      </c>
      <c r="B9" t="s">
        <v>53</v>
      </c>
      <c r="C9" s="5" t="str">
        <f t="array" ref="C9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9" s="5" t="s">
        <v>43</v>
      </c>
      <c r="E9" s="5" t="s">
        <v>44</v>
      </c>
      <c r="F9" s="5">
        <v>360</v>
      </c>
      <c r="G9" s="5" t="s">
        <v>45</v>
      </c>
      <c r="H9" s="5" t="s">
        <v>54</v>
      </c>
    </row>
    <row r="10" spans="1:8" x14ac:dyDescent="0.3">
      <c r="A10" t="s">
        <v>55</v>
      </c>
      <c r="B10" t="s">
        <v>56</v>
      </c>
      <c r="C10" s="5" t="str">
        <f t="array" ref="C10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Engine</v>
      </c>
      <c r="D10" s="5" t="s">
        <v>43</v>
      </c>
      <c r="E10" s="5" t="s">
        <v>44</v>
      </c>
      <c r="F10" s="5">
        <v>1200</v>
      </c>
      <c r="G10" s="5" t="s">
        <v>45</v>
      </c>
      <c r="H10" s="5" t="s">
        <v>54</v>
      </c>
    </row>
    <row r="11" spans="1:8" x14ac:dyDescent="0.3">
      <c r="A11" t="s">
        <v>57</v>
      </c>
      <c r="B11" t="s">
        <v>58</v>
      </c>
      <c r="C11" s="5" t="str">
        <f t="array" ref="C1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Equipment</v>
      </c>
      <c r="D11" s="5" t="s">
        <v>59</v>
      </c>
      <c r="E11" s="5" t="s">
        <v>60</v>
      </c>
      <c r="F11" s="5">
        <v>60</v>
      </c>
      <c r="G11" s="5" t="s">
        <v>30</v>
      </c>
    </row>
    <row r="12" spans="1:8" x14ac:dyDescent="0.3">
      <c r="A12" t="s">
        <v>61</v>
      </c>
      <c r="B12" t="s">
        <v>62</v>
      </c>
      <c r="C12" s="5" t="str">
        <f t="array" ref="C12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Equipment</v>
      </c>
      <c r="D12" s="5" t="s">
        <v>63</v>
      </c>
      <c r="E12" s="5" t="s">
        <v>64</v>
      </c>
      <c r="F12" s="5">
        <v>22.5</v>
      </c>
      <c r="G12" s="5" t="s">
        <v>30</v>
      </c>
    </row>
    <row r="13" spans="1:8" x14ac:dyDescent="0.3">
      <c r="A13" t="s">
        <v>65</v>
      </c>
      <c r="B13" t="s">
        <v>66</v>
      </c>
      <c r="C13" s="5" t="str">
        <f t="array" ref="C13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Equipment</v>
      </c>
      <c r="D13" s="5" t="s">
        <v>63</v>
      </c>
      <c r="E13" s="5" t="s">
        <v>64</v>
      </c>
      <c r="F13" s="5">
        <v>24</v>
      </c>
      <c r="G13" s="5" t="s">
        <v>30</v>
      </c>
    </row>
    <row r="14" spans="1:8" x14ac:dyDescent="0.3">
      <c r="A14" t="s">
        <v>67</v>
      </c>
      <c r="B14" t="s">
        <v>68</v>
      </c>
      <c r="C14" s="5" t="str">
        <f t="array" ref="C14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Equipment</v>
      </c>
      <c r="D14" s="5" t="s">
        <v>63</v>
      </c>
      <c r="E14" s="5" t="s">
        <v>64</v>
      </c>
      <c r="F14" s="5">
        <v>9</v>
      </c>
      <c r="G14" s="5" t="s">
        <v>30</v>
      </c>
    </row>
    <row r="15" spans="1:8" x14ac:dyDescent="0.3">
      <c r="A15" t="s">
        <v>69</v>
      </c>
      <c r="B15" t="s">
        <v>70</v>
      </c>
      <c r="C15" s="5" t="str">
        <f t="array" ref="C15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15" s="5" t="s">
        <v>29</v>
      </c>
      <c r="E15" s="5" t="s">
        <v>29</v>
      </c>
      <c r="F15" s="5">
        <v>3</v>
      </c>
      <c r="G15" s="5" t="s">
        <v>30</v>
      </c>
    </row>
    <row r="16" spans="1:8" x14ac:dyDescent="0.3">
      <c r="A16" t="s">
        <v>71</v>
      </c>
      <c r="B16" t="s">
        <v>72</v>
      </c>
      <c r="C16" s="5" t="str">
        <f t="array" ref="C16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16" s="5" t="s">
        <v>29</v>
      </c>
      <c r="E16" s="5" t="s">
        <v>29</v>
      </c>
      <c r="F16" s="5">
        <v>5</v>
      </c>
      <c r="G16" s="5" t="s">
        <v>30</v>
      </c>
    </row>
    <row r="17" spans="1:8" x14ac:dyDescent="0.3">
      <c r="A17" t="s">
        <v>73</v>
      </c>
      <c r="B17" t="s">
        <v>74</v>
      </c>
      <c r="C17" s="5" t="str">
        <f t="array" ref="C17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17" s="5" t="s">
        <v>43</v>
      </c>
      <c r="E17" s="5" t="s">
        <v>44</v>
      </c>
      <c r="F17" s="5">
        <v>60</v>
      </c>
      <c r="G17" s="5" t="s">
        <v>30</v>
      </c>
    </row>
    <row r="18" spans="1:8" x14ac:dyDescent="0.3">
      <c r="A18" t="s">
        <v>75</v>
      </c>
      <c r="B18" t="s">
        <v>76</v>
      </c>
      <c r="C18" s="5" t="str">
        <f t="array" ref="C18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18" s="5" t="s">
        <v>29</v>
      </c>
      <c r="E18" s="5" t="s">
        <v>29</v>
      </c>
      <c r="F18" s="5">
        <v>5</v>
      </c>
      <c r="G18" s="5" t="s">
        <v>30</v>
      </c>
    </row>
    <row r="19" spans="1:8" x14ac:dyDescent="0.3">
      <c r="A19" t="s">
        <v>77</v>
      </c>
      <c r="B19" t="s">
        <v>78</v>
      </c>
      <c r="C19" s="5" t="str">
        <f t="array" ref="C19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19" s="5" t="s">
        <v>29</v>
      </c>
      <c r="E19" s="5" t="s">
        <v>29</v>
      </c>
      <c r="F19" s="5">
        <v>10</v>
      </c>
      <c r="G19" s="5" t="s">
        <v>30</v>
      </c>
      <c r="H19" s="5" t="s">
        <v>79</v>
      </c>
    </row>
    <row r="20" spans="1:8" x14ac:dyDescent="0.3">
      <c r="A20" t="s">
        <v>80</v>
      </c>
      <c r="B20" t="s">
        <v>81</v>
      </c>
      <c r="C20" s="5" t="str">
        <f t="array" ref="C20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0" s="5" t="s">
        <v>29</v>
      </c>
      <c r="E20" s="5" t="s">
        <v>29</v>
      </c>
      <c r="F20" s="5">
        <v>10</v>
      </c>
      <c r="G20" s="5" t="s">
        <v>30</v>
      </c>
    </row>
    <row r="21" spans="1:8" x14ac:dyDescent="0.3">
      <c r="A21" t="s">
        <v>82</v>
      </c>
      <c r="B21" t="s">
        <v>83</v>
      </c>
      <c r="C21" s="5" t="str">
        <f t="array" ref="C2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1" s="5" t="s">
        <v>84</v>
      </c>
      <c r="E21" s="5" t="s">
        <v>85</v>
      </c>
      <c r="F21" s="5">
        <v>25</v>
      </c>
      <c r="G21" s="5" t="s">
        <v>30</v>
      </c>
      <c r="H21" s="5" t="s">
        <v>86</v>
      </c>
    </row>
    <row r="22" spans="1:8" x14ac:dyDescent="0.3">
      <c r="A22" t="s">
        <v>87</v>
      </c>
      <c r="B22" t="s">
        <v>88</v>
      </c>
      <c r="C22" s="5" t="str">
        <f t="array" ref="C22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2" s="5" t="s">
        <v>84</v>
      </c>
      <c r="E22" s="5" t="s">
        <v>85</v>
      </c>
      <c r="F22" s="5">
        <v>15</v>
      </c>
      <c r="G22" s="5" t="s">
        <v>30</v>
      </c>
    </row>
    <row r="23" spans="1:8" x14ac:dyDescent="0.3">
      <c r="A23" t="s">
        <v>89</v>
      </c>
      <c r="B23" t="s">
        <v>90</v>
      </c>
      <c r="C23" s="5" t="str">
        <f t="array" ref="C23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3" s="5" t="s">
        <v>29</v>
      </c>
      <c r="E23" s="5" t="s">
        <v>29</v>
      </c>
      <c r="F23" s="5">
        <v>6</v>
      </c>
      <c r="G23" s="5" t="s">
        <v>30</v>
      </c>
      <c r="H23" s="5" t="s">
        <v>91</v>
      </c>
    </row>
    <row r="24" spans="1:8" x14ac:dyDescent="0.3">
      <c r="A24" t="s">
        <v>92</v>
      </c>
      <c r="B24" t="s">
        <v>93</v>
      </c>
      <c r="C24" s="5" t="str">
        <f t="array" ref="C24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4" s="5" t="s">
        <v>29</v>
      </c>
      <c r="E24" s="5" t="s">
        <v>29</v>
      </c>
      <c r="F24" s="5">
        <v>10</v>
      </c>
      <c r="G24" s="5" t="s">
        <v>30</v>
      </c>
    </row>
    <row r="25" spans="1:8" x14ac:dyDescent="0.3">
      <c r="A25" t="s">
        <v>94</v>
      </c>
      <c r="B25" t="s">
        <v>95</v>
      </c>
      <c r="C25" s="5" t="str">
        <f t="array" ref="C25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5" s="5" t="s">
        <v>29</v>
      </c>
      <c r="E25" s="5" t="s">
        <v>29</v>
      </c>
      <c r="F25" s="5">
        <v>8</v>
      </c>
      <c r="G25" s="5" t="s">
        <v>30</v>
      </c>
      <c r="H25" s="5" t="s">
        <v>96</v>
      </c>
    </row>
    <row r="26" spans="1:8" x14ac:dyDescent="0.3">
      <c r="A26" t="s">
        <v>97</v>
      </c>
      <c r="B26" t="s">
        <v>98</v>
      </c>
      <c r="C26" s="5" t="str">
        <f t="array" ref="C26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6" s="5" t="s">
        <v>29</v>
      </c>
      <c r="E26" s="5" t="s">
        <v>29</v>
      </c>
      <c r="F26" s="5">
        <v>2</v>
      </c>
      <c r="G26" s="5" t="s">
        <v>30</v>
      </c>
      <c r="H26" s="5" t="s">
        <v>99</v>
      </c>
    </row>
    <row r="27" spans="1:8" x14ac:dyDescent="0.3">
      <c r="A27" t="s">
        <v>100</v>
      </c>
      <c r="B27" t="s">
        <v>101</v>
      </c>
      <c r="C27" s="5" t="str">
        <f t="array" ref="C27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7" s="5" t="s">
        <v>29</v>
      </c>
      <c r="E27" s="5" t="s">
        <v>29</v>
      </c>
      <c r="F27" s="5">
        <v>10</v>
      </c>
      <c r="G27" s="5" t="s">
        <v>30</v>
      </c>
    </row>
    <row r="28" spans="1:8" x14ac:dyDescent="0.3">
      <c r="A28" t="s">
        <v>102</v>
      </c>
      <c r="B28" t="s">
        <v>103</v>
      </c>
      <c r="C28" s="5" t="str">
        <f t="array" ref="C28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8" s="5" t="s">
        <v>29</v>
      </c>
      <c r="E28" s="5" t="s">
        <v>104</v>
      </c>
      <c r="F28" s="5">
        <v>2</v>
      </c>
      <c r="G28" s="5" t="s">
        <v>30</v>
      </c>
    </row>
    <row r="29" spans="1:8" x14ac:dyDescent="0.3">
      <c r="A29" t="s">
        <v>105</v>
      </c>
      <c r="B29" t="s">
        <v>106</v>
      </c>
      <c r="C29" s="5" t="str">
        <f t="array" ref="C29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29" s="5" t="s">
        <v>29</v>
      </c>
      <c r="E29" s="5" t="s">
        <v>104</v>
      </c>
      <c r="F29" s="5">
        <v>2</v>
      </c>
      <c r="G29" s="5" t="s">
        <v>30</v>
      </c>
      <c r="H29" s="5" t="s">
        <v>107</v>
      </c>
    </row>
    <row r="30" spans="1:8" x14ac:dyDescent="0.3">
      <c r="A30" t="s">
        <v>108</v>
      </c>
      <c r="B30" t="s">
        <v>109</v>
      </c>
      <c r="C30" s="5" t="str">
        <f t="array" ref="C30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30" s="5" t="s">
        <v>29</v>
      </c>
      <c r="E30" s="5" t="s">
        <v>29</v>
      </c>
      <c r="F30" s="5">
        <v>5</v>
      </c>
      <c r="G30" s="5" t="s">
        <v>30</v>
      </c>
    </row>
    <row r="31" spans="1:8" x14ac:dyDescent="0.3">
      <c r="A31" t="s">
        <v>110</v>
      </c>
      <c r="B31" t="s">
        <v>111</v>
      </c>
      <c r="C31" s="5" t="str">
        <f t="array" ref="C3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31" s="5" t="s">
        <v>29</v>
      </c>
      <c r="E31" s="5" t="s">
        <v>29</v>
      </c>
      <c r="F31" s="5">
        <v>12</v>
      </c>
      <c r="G31" s="5" t="s">
        <v>30</v>
      </c>
    </row>
    <row r="32" spans="1:8" x14ac:dyDescent="0.3">
      <c r="A32" t="s">
        <v>112</v>
      </c>
      <c r="B32" t="s">
        <v>113</v>
      </c>
      <c r="C32" s="5" t="str">
        <f t="array" ref="C32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Gymnastics</v>
      </c>
      <c r="D32" s="5" t="s">
        <v>29</v>
      </c>
      <c r="E32" s="5" t="s">
        <v>29</v>
      </c>
      <c r="F32" s="5">
        <v>5</v>
      </c>
      <c r="G32" s="5" t="s">
        <v>30</v>
      </c>
      <c r="H32" s="5" t="s">
        <v>114</v>
      </c>
    </row>
    <row r="33" spans="1:8" x14ac:dyDescent="0.3">
      <c r="A33" t="s">
        <v>115</v>
      </c>
      <c r="B33" t="s">
        <v>116</v>
      </c>
      <c r="C33" s="5" t="str">
        <f t="array" ref="C33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33" s="5" t="s">
        <v>63</v>
      </c>
      <c r="E33" s="5" t="s">
        <v>64</v>
      </c>
      <c r="F33" s="5">
        <v>80</v>
      </c>
      <c r="G33" s="5" t="s">
        <v>30</v>
      </c>
      <c r="H33" s="5" t="s">
        <v>117</v>
      </c>
    </row>
    <row r="34" spans="1:8" x14ac:dyDescent="0.3">
      <c r="A34" t="s">
        <v>118</v>
      </c>
      <c r="B34" t="s">
        <v>119</v>
      </c>
      <c r="C34" s="5" t="str">
        <f t="array" ref="C34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</row>
    <row r="35" spans="1:8" x14ac:dyDescent="0.3">
      <c r="A35" t="s">
        <v>120</v>
      </c>
      <c r="B35" t="s">
        <v>121</v>
      </c>
      <c r="C35" s="5" t="str">
        <f t="array" ref="C35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35" s="5" t="s">
        <v>63</v>
      </c>
      <c r="E35" s="5" t="s">
        <v>64</v>
      </c>
      <c r="F35" s="5">
        <v>180</v>
      </c>
      <c r="G35" s="5" t="s">
        <v>30</v>
      </c>
    </row>
    <row r="36" spans="1:8" x14ac:dyDescent="0.3">
      <c r="A36" t="s">
        <v>122</v>
      </c>
      <c r="B36" t="s">
        <v>123</v>
      </c>
      <c r="C36" s="5" t="str">
        <f t="array" ref="C36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36" s="5" t="s">
        <v>63</v>
      </c>
      <c r="E36" s="5" t="s">
        <v>64</v>
      </c>
      <c r="F36" s="5">
        <v>100</v>
      </c>
      <c r="G36" s="5" t="s">
        <v>30</v>
      </c>
    </row>
    <row r="37" spans="1:8" x14ac:dyDescent="0.3">
      <c r="A37" t="s">
        <v>124</v>
      </c>
      <c r="B37" t="s">
        <v>125</v>
      </c>
      <c r="C37" s="5" t="str">
        <f t="array" ref="C37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37" s="5" t="s">
        <v>63</v>
      </c>
      <c r="E37" s="5" t="s">
        <v>64</v>
      </c>
      <c r="F37" s="5">
        <v>100</v>
      </c>
      <c r="G37" s="5" t="s">
        <v>30</v>
      </c>
    </row>
    <row r="38" spans="1:8" x14ac:dyDescent="0.3">
      <c r="A38" t="s">
        <v>126</v>
      </c>
      <c r="B38" t="s">
        <v>127</v>
      </c>
      <c r="C38" s="5" t="str">
        <f t="array" ref="C38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38" s="5" t="s">
        <v>63</v>
      </c>
      <c r="E38" s="5" t="s">
        <v>64</v>
      </c>
      <c r="F38" s="5">
        <v>140</v>
      </c>
      <c r="G38" s="5" t="s">
        <v>30</v>
      </c>
    </row>
    <row r="39" spans="1:8" x14ac:dyDescent="0.3">
      <c r="A39" t="s">
        <v>128</v>
      </c>
      <c r="B39" t="s">
        <v>129</v>
      </c>
      <c r="C39" s="5" t="str">
        <f t="array" ref="C39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39" s="5" t="s">
        <v>63</v>
      </c>
      <c r="E39" s="5" t="s">
        <v>64</v>
      </c>
      <c r="F39" s="5">
        <v>140</v>
      </c>
      <c r="G39" s="5" t="s">
        <v>30</v>
      </c>
    </row>
    <row r="40" spans="1:8" x14ac:dyDescent="0.3">
      <c r="A40" t="s">
        <v>130</v>
      </c>
      <c r="B40" t="s">
        <v>131</v>
      </c>
      <c r="C40" s="5" t="str">
        <f t="array" ref="C40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0" s="5" t="s">
        <v>63</v>
      </c>
      <c r="E40" s="5" t="s">
        <v>64</v>
      </c>
      <c r="F40" s="5">
        <v>140</v>
      </c>
      <c r="G40" s="5" t="s">
        <v>30</v>
      </c>
    </row>
    <row r="41" spans="1:8" x14ac:dyDescent="0.3">
      <c r="A41" t="s">
        <v>132</v>
      </c>
      <c r="B41" t="s">
        <v>133</v>
      </c>
      <c r="C41" s="5" t="str">
        <f t="array" ref="C4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1" s="5" t="s">
        <v>63</v>
      </c>
      <c r="E41" s="5" t="s">
        <v>64</v>
      </c>
      <c r="F41" s="5">
        <v>195</v>
      </c>
      <c r="G41" s="5" t="s">
        <v>30</v>
      </c>
    </row>
    <row r="42" spans="1:8" x14ac:dyDescent="0.3">
      <c r="A42" t="s">
        <v>134</v>
      </c>
      <c r="B42" t="s">
        <v>135</v>
      </c>
      <c r="C42" s="5" t="str">
        <f t="array" ref="C42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2" s="5" t="s">
        <v>63</v>
      </c>
      <c r="E42" s="5" t="s">
        <v>64</v>
      </c>
      <c r="F42" s="5">
        <v>155</v>
      </c>
      <c r="G42" s="5" t="s">
        <v>30</v>
      </c>
    </row>
    <row r="43" spans="1:8" x14ac:dyDescent="0.3">
      <c r="A43" t="s">
        <v>136</v>
      </c>
      <c r="B43" t="s">
        <v>137</v>
      </c>
      <c r="C43" s="5" t="str">
        <f t="array" ref="C43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3" s="5" t="s">
        <v>63</v>
      </c>
      <c r="E43" s="5" t="s">
        <v>64</v>
      </c>
      <c r="F43" s="5">
        <v>110</v>
      </c>
      <c r="G43" s="5" t="s">
        <v>30</v>
      </c>
      <c r="H43" s="5" t="s">
        <v>138</v>
      </c>
    </row>
    <row r="44" spans="1:8" x14ac:dyDescent="0.3">
      <c r="A44" t="s">
        <v>139</v>
      </c>
      <c r="B44" t="s">
        <v>140</v>
      </c>
      <c r="C44" s="5" t="str">
        <f t="array" ref="C44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4" s="5" t="s">
        <v>63</v>
      </c>
      <c r="E44" s="5" t="s">
        <v>64</v>
      </c>
      <c r="F44" s="5">
        <v>80</v>
      </c>
      <c r="G44" s="5" t="s">
        <v>30</v>
      </c>
    </row>
    <row r="45" spans="1:8" x14ac:dyDescent="0.3">
      <c r="A45" t="s">
        <v>141</v>
      </c>
      <c r="B45" t="s">
        <v>142</v>
      </c>
      <c r="C45" s="5" t="str">
        <f t="array" ref="C45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5" s="5" t="s">
        <v>63</v>
      </c>
      <c r="E45" s="5" t="s">
        <v>64</v>
      </c>
      <c r="F45" s="5">
        <v>110</v>
      </c>
      <c r="G45" s="5" t="s">
        <v>30</v>
      </c>
    </row>
    <row r="46" spans="1:8" x14ac:dyDescent="0.3">
      <c r="A46" t="s">
        <v>143</v>
      </c>
      <c r="B46" t="s">
        <v>144</v>
      </c>
      <c r="C46" s="5" t="str">
        <f t="array" ref="C46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46" s="5" t="s">
        <v>63</v>
      </c>
      <c r="E46" s="5" t="s">
        <v>64</v>
      </c>
      <c r="F46" s="5">
        <v>100</v>
      </c>
      <c r="G46" s="5" t="s">
        <v>30</v>
      </c>
    </row>
    <row r="47" spans="1:8" x14ac:dyDescent="0.3">
      <c r="A47" t="s">
        <v>145</v>
      </c>
      <c r="B47" t="s">
        <v>146</v>
      </c>
      <c r="C47" s="5" t="str">
        <f t="array" ref="C47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47" s="5" t="s">
        <v>29</v>
      </c>
      <c r="E47" s="5" t="s">
        <v>29</v>
      </c>
      <c r="F47" s="5">
        <v>300</v>
      </c>
      <c r="G47" s="5" t="s">
        <v>30</v>
      </c>
    </row>
    <row r="48" spans="1:8" x14ac:dyDescent="0.3">
      <c r="A48" t="s">
        <v>147</v>
      </c>
      <c r="B48" t="s">
        <v>148</v>
      </c>
      <c r="C48" s="5" t="str">
        <f t="array" ref="C48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48" s="5" t="s">
        <v>29</v>
      </c>
      <c r="E48" s="5" t="s">
        <v>29</v>
      </c>
      <c r="F48" s="5">
        <v>450</v>
      </c>
      <c r="G48" s="5" t="s">
        <v>30</v>
      </c>
    </row>
    <row r="49" spans="1:8" x14ac:dyDescent="0.3">
      <c r="A49" t="s">
        <v>149</v>
      </c>
      <c r="B49" t="s">
        <v>150</v>
      </c>
      <c r="C49" s="5" t="str">
        <f t="array" ref="C49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49" s="5" t="s">
        <v>29</v>
      </c>
      <c r="E49" s="5" t="s">
        <v>29</v>
      </c>
      <c r="F49" s="5">
        <v>690</v>
      </c>
      <c r="G49" s="5" t="s">
        <v>30</v>
      </c>
    </row>
    <row r="50" spans="1:8" x14ac:dyDescent="0.3">
      <c r="A50" t="s">
        <v>151</v>
      </c>
      <c r="B50" t="s">
        <v>152</v>
      </c>
      <c r="C50" s="5" t="str">
        <f t="array" ref="C50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50" s="5" t="s">
        <v>43</v>
      </c>
      <c r="E50" s="5" t="s">
        <v>44</v>
      </c>
      <c r="F50" s="5">
        <v>195</v>
      </c>
      <c r="G50" s="5" t="s">
        <v>45</v>
      </c>
      <c r="H50" s="5" t="s">
        <v>153</v>
      </c>
    </row>
    <row r="51" spans="1:8" x14ac:dyDescent="0.3">
      <c r="A51" t="s">
        <v>154</v>
      </c>
      <c r="B51" t="s">
        <v>155</v>
      </c>
      <c r="C51" s="5" t="str">
        <f t="array" ref="C5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51" s="5" t="s">
        <v>43</v>
      </c>
      <c r="E51" s="5" t="s">
        <v>44</v>
      </c>
      <c r="F51" s="5">
        <v>2596</v>
      </c>
      <c r="G51" s="5" t="s">
        <v>45</v>
      </c>
    </row>
    <row r="52" spans="1:8" x14ac:dyDescent="0.3">
      <c r="A52" t="s">
        <v>156</v>
      </c>
      <c r="B52" t="s">
        <v>157</v>
      </c>
      <c r="C52" s="5" t="str">
        <f t="array" ref="C52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2" s="5" t="s">
        <v>63</v>
      </c>
      <c r="E52" s="5" t="s">
        <v>64</v>
      </c>
      <c r="F52" s="5">
        <v>100</v>
      </c>
      <c r="G52" s="5" t="s">
        <v>30</v>
      </c>
    </row>
    <row r="53" spans="1:8" x14ac:dyDescent="0.3">
      <c r="A53" t="s">
        <v>158</v>
      </c>
      <c r="B53" t="s">
        <v>159</v>
      </c>
      <c r="C53" s="5" t="str">
        <f t="array" ref="C53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3" s="5" t="s">
        <v>63</v>
      </c>
      <c r="E53" s="5" t="s">
        <v>64</v>
      </c>
      <c r="F53" s="5">
        <v>70</v>
      </c>
      <c r="G53" s="5" t="s">
        <v>30</v>
      </c>
    </row>
    <row r="54" spans="1:8" x14ac:dyDescent="0.3">
      <c r="A54" t="s">
        <v>160</v>
      </c>
      <c r="B54" t="s">
        <v>161</v>
      </c>
      <c r="C54" s="5" t="str">
        <f t="array" ref="C54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4" s="5" t="s">
        <v>63</v>
      </c>
      <c r="E54" s="5" t="s">
        <v>64</v>
      </c>
      <c r="F54" s="5">
        <v>45</v>
      </c>
      <c r="G54" s="5" t="s">
        <v>30</v>
      </c>
    </row>
    <row r="55" spans="1:8" x14ac:dyDescent="0.3">
      <c r="A55" t="s">
        <v>162</v>
      </c>
      <c r="B55" t="s">
        <v>163</v>
      </c>
      <c r="C55" s="5" t="str">
        <f t="array" ref="C55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5" s="5" t="s">
        <v>63</v>
      </c>
      <c r="E55" s="5" t="s">
        <v>64</v>
      </c>
      <c r="F55" s="5">
        <v>80</v>
      </c>
      <c r="G55" s="5" t="s">
        <v>30</v>
      </c>
    </row>
    <row r="56" spans="1:8" x14ac:dyDescent="0.3">
      <c r="A56" t="s">
        <v>164</v>
      </c>
      <c r="B56" t="s">
        <v>165</v>
      </c>
      <c r="C56" s="5" t="str">
        <f t="array" ref="C56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6" s="5" t="s">
        <v>63</v>
      </c>
      <c r="E56" s="5" t="s">
        <v>64</v>
      </c>
      <c r="F56" s="5">
        <v>60</v>
      </c>
      <c r="G56" s="5" t="s">
        <v>30</v>
      </c>
    </row>
    <row r="57" spans="1:8" x14ac:dyDescent="0.3">
      <c r="A57" t="s">
        <v>166</v>
      </c>
      <c r="B57" t="s">
        <v>167</v>
      </c>
      <c r="C57" s="5" t="str">
        <f t="array" ref="C57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7" s="5" t="s">
        <v>63</v>
      </c>
      <c r="E57" s="5" t="s">
        <v>64</v>
      </c>
      <c r="F57" s="5">
        <v>50</v>
      </c>
      <c r="G57" s="5" t="s">
        <v>30</v>
      </c>
    </row>
    <row r="58" spans="1:8" x14ac:dyDescent="0.3">
      <c r="A58" t="s">
        <v>168</v>
      </c>
      <c r="B58" t="s">
        <v>169</v>
      </c>
      <c r="C58" s="5" t="str">
        <f t="array" ref="C58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8" s="5" t="s">
        <v>63</v>
      </c>
      <c r="E58" s="5" t="s">
        <v>64</v>
      </c>
      <c r="F58" s="5">
        <v>45</v>
      </c>
      <c r="G58" s="5" t="s">
        <v>30</v>
      </c>
    </row>
    <row r="59" spans="1:8" x14ac:dyDescent="0.3">
      <c r="A59" t="s">
        <v>170</v>
      </c>
      <c r="B59" t="s">
        <v>171</v>
      </c>
      <c r="C59" s="5" t="str">
        <f t="array" ref="C59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Strength</v>
      </c>
      <c r="D59" s="5" t="s">
        <v>63</v>
      </c>
      <c r="E59" s="5" t="s">
        <v>64</v>
      </c>
      <c r="F59" s="5">
        <v>50</v>
      </c>
      <c r="G59" s="5" t="s">
        <v>30</v>
      </c>
    </row>
    <row r="60" spans="1:8" x14ac:dyDescent="0.3">
      <c r="A60" t="s">
        <v>172</v>
      </c>
      <c r="B60" t="s">
        <v>173</v>
      </c>
      <c r="C60" s="5" t="str">
        <f t="array" ref="C60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60" s="5" t="s">
        <v>43</v>
      </c>
      <c r="E60" s="5" t="s">
        <v>44</v>
      </c>
      <c r="F60" s="5">
        <v>240</v>
      </c>
      <c r="G60" s="5" t="s">
        <v>45</v>
      </c>
      <c r="H60" s="5" t="s">
        <v>174</v>
      </c>
    </row>
    <row r="61" spans="1:8" x14ac:dyDescent="0.3">
      <c r="A61" t="s">
        <v>175</v>
      </c>
      <c r="B61" t="s">
        <v>173</v>
      </c>
      <c r="C61" s="5" t="str">
        <f t="array" ref="C61">_xlfn.LET(
  _xlpm.prefix, INDEX(_xlfn.TEXTSPLIT(Benchmarks[[#This Row],[BenchmarkID]],"_"),1),
  _xlfn.SWITCH(_xlpm.prefix,
    "LIFT","Strength",
    "WL","Strength",
    "GYM","Gymnastics",
    "BW","Gymnastics",
    "ENG","Engine",
    "MET","Metcon",
    "EQ","Equipment",
    "Other"
  )
)</f>
        <v>Metcon</v>
      </c>
      <c r="D61" s="5" t="s">
        <v>43</v>
      </c>
      <c r="E61" s="5" t="s">
        <v>44</v>
      </c>
      <c r="F61" s="5">
        <v>240</v>
      </c>
      <c r="G61" s="5" t="s">
        <v>45</v>
      </c>
      <c r="H61" s="5" t="s">
        <v>174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30F-90BD-4279-BD3B-207E2FD93083}">
  <dimension ref="A1:K7"/>
  <sheetViews>
    <sheetView workbookViewId="0">
      <selection activeCell="E14" sqref="E14"/>
    </sheetView>
  </sheetViews>
  <sheetFormatPr defaultRowHeight="14.4" x14ac:dyDescent="0.3"/>
  <cols>
    <col min="1" max="1" width="21.88671875" bestFit="1" customWidth="1"/>
    <col min="2" max="2" width="26.5546875" bestFit="1" customWidth="1"/>
    <col min="3" max="3" width="14" style="5" bestFit="1" customWidth="1"/>
    <col min="4" max="4" width="14" style="5" customWidth="1"/>
    <col min="5" max="5" width="19.6640625" style="5" bestFit="1" customWidth="1"/>
    <col min="6" max="6" width="19.6640625" style="5" customWidth="1"/>
    <col min="7" max="7" width="19.6640625" style="5" bestFit="1" customWidth="1"/>
    <col min="8" max="8" width="19.6640625" style="5" customWidth="1"/>
    <col min="9" max="9" width="13.6640625" style="5" bestFit="1" customWidth="1"/>
    <col min="10" max="10" width="34.44140625" style="5" bestFit="1" customWidth="1"/>
    <col min="11" max="11" width="8.6640625" style="5"/>
  </cols>
  <sheetData>
    <row r="1" spans="1:10" x14ac:dyDescent="0.3">
      <c r="A1" t="s">
        <v>176</v>
      </c>
      <c r="B1" t="s">
        <v>177</v>
      </c>
      <c r="C1" s="5" t="s">
        <v>178</v>
      </c>
      <c r="D1" s="5" t="s">
        <v>179</v>
      </c>
      <c r="E1" s="5" t="s">
        <v>180</v>
      </c>
      <c r="F1" s="5" t="s">
        <v>181</v>
      </c>
      <c r="G1" s="5" t="s">
        <v>182</v>
      </c>
      <c r="H1" s="5" t="s">
        <v>183</v>
      </c>
      <c r="I1" s="5" t="s">
        <v>184</v>
      </c>
      <c r="J1" s="5" t="s">
        <v>9</v>
      </c>
    </row>
    <row r="2" spans="1:10" x14ac:dyDescent="0.3">
      <c r="A2" t="s">
        <v>185</v>
      </c>
      <c r="B2" t="s">
        <v>186</v>
      </c>
      <c r="C2" s="5" t="s">
        <v>187</v>
      </c>
      <c r="E2" s="5" t="s">
        <v>188</v>
      </c>
      <c r="G2" s="5" t="s">
        <v>189</v>
      </c>
      <c r="I2" s="5" t="s">
        <v>190</v>
      </c>
      <c r="J2" s="5" t="s">
        <v>191</v>
      </c>
    </row>
    <row r="3" spans="1:10" x14ac:dyDescent="0.3">
      <c r="A3" t="s">
        <v>192</v>
      </c>
      <c r="B3" t="s">
        <v>193</v>
      </c>
      <c r="C3" s="5">
        <v>10</v>
      </c>
      <c r="E3" s="5">
        <v>15</v>
      </c>
      <c r="G3" s="5">
        <v>20</v>
      </c>
      <c r="I3" s="5" t="s">
        <v>29</v>
      </c>
      <c r="J3" s="5" t="s">
        <v>194</v>
      </c>
    </row>
    <row r="4" spans="1:10" x14ac:dyDescent="0.3">
      <c r="A4" t="s">
        <v>195</v>
      </c>
      <c r="B4" t="s">
        <v>196</v>
      </c>
      <c r="C4" s="5">
        <v>10</v>
      </c>
      <c r="E4" s="5">
        <v>15</v>
      </c>
      <c r="G4" s="5">
        <v>20</v>
      </c>
      <c r="I4" s="5" t="s">
        <v>29</v>
      </c>
      <c r="J4" s="5" t="s">
        <v>197</v>
      </c>
    </row>
    <row r="5" spans="1:10" x14ac:dyDescent="0.3">
      <c r="A5" t="s">
        <v>198</v>
      </c>
      <c r="B5" t="s">
        <v>199</v>
      </c>
      <c r="C5" s="5" t="s">
        <v>200</v>
      </c>
      <c r="E5" s="5" t="s">
        <v>201</v>
      </c>
      <c r="G5" s="5" t="s">
        <v>202</v>
      </c>
      <c r="I5" s="5" t="s">
        <v>190</v>
      </c>
      <c r="J5" s="5" t="s">
        <v>203</v>
      </c>
    </row>
    <row r="6" spans="1:10" x14ac:dyDescent="0.3">
      <c r="A6" t="s">
        <v>204</v>
      </c>
      <c r="B6" t="s">
        <v>205</v>
      </c>
      <c r="C6" s="5" t="s">
        <v>206</v>
      </c>
      <c r="D6" s="5" t="s">
        <v>207</v>
      </c>
      <c r="E6" s="5" t="s">
        <v>208</v>
      </c>
      <c r="G6" s="5" t="s">
        <v>209</v>
      </c>
      <c r="I6" s="5" t="s">
        <v>210</v>
      </c>
      <c r="J6" s="5" t="s">
        <v>211</v>
      </c>
    </row>
    <row r="7" spans="1:10" x14ac:dyDescent="0.3">
      <c r="A7" t="s">
        <v>212</v>
      </c>
      <c r="B7" t="s">
        <v>213</v>
      </c>
      <c r="C7" s="16">
        <v>0.13541666666666666</v>
      </c>
      <c r="D7" s="16"/>
      <c r="E7" s="16">
        <v>0.125</v>
      </c>
      <c r="F7" s="16"/>
      <c r="G7" s="16">
        <v>0.11458333333333333</v>
      </c>
      <c r="H7" s="16"/>
      <c r="I7" s="5" t="s">
        <v>214</v>
      </c>
      <c r="J7" s="5" t="s">
        <v>215</v>
      </c>
    </row>
  </sheetData>
  <phoneticPr fontId="4" type="noConversion"/>
  <dataValidations count="2">
    <dataValidation type="list" allowBlank="1" showInputMessage="1" showErrorMessage="1" sqref="D2:D7" xr:uid="{5151329C-AB99-4985-9773-3CED2537AA14}">
      <formula1>"Yes, No"</formula1>
    </dataValidation>
    <dataValidation type="list" allowBlank="1" showInputMessage="1" showErrorMessage="1" sqref="F2:F7 H2:H7" xr:uid="{7E2ADF59-7BFD-4527-BDB8-8D97F4A682C6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N21" sqref="N21"/>
    </sheetView>
  </sheetViews>
  <sheetFormatPr defaultRowHeight="14.4" x14ac:dyDescent="0.3"/>
  <cols>
    <col min="1" max="1" width="29.33203125" customWidth="1"/>
    <col min="2" max="2" width="21.109375" customWidth="1"/>
    <col min="3" max="3" width="13.109375" style="2" customWidth="1"/>
    <col min="4" max="4" width="10.109375" bestFit="1" customWidth="1"/>
    <col min="5" max="5" width="15.5546875" bestFit="1" customWidth="1"/>
    <col min="6" max="6" width="38.44140625" bestFit="1" customWidth="1"/>
  </cols>
  <sheetData>
    <row r="1" spans="1:6" x14ac:dyDescent="0.3">
      <c r="A1" s="1" t="s">
        <v>216</v>
      </c>
      <c r="B1" s="1" t="s">
        <v>20</v>
      </c>
      <c r="C1" s="3" t="s">
        <v>217</v>
      </c>
      <c r="D1" s="1" t="s">
        <v>218</v>
      </c>
      <c r="E1" s="1" t="s">
        <v>219</v>
      </c>
      <c r="F1" s="1" t="s">
        <v>9</v>
      </c>
    </row>
    <row r="2" spans="1:6" x14ac:dyDescent="0.3">
      <c r="A2" t="s">
        <v>220</v>
      </c>
      <c r="B2" t="s">
        <v>136</v>
      </c>
      <c r="C2" s="2" t="s">
        <v>221</v>
      </c>
      <c r="D2">
        <v>55</v>
      </c>
      <c r="E2" t="s">
        <v>222</v>
      </c>
      <c r="F2" t="s">
        <v>223</v>
      </c>
    </row>
    <row r="3" spans="1:6" x14ac:dyDescent="0.3">
      <c r="A3" t="s">
        <v>224</v>
      </c>
      <c r="B3" t="s">
        <v>139</v>
      </c>
      <c r="C3" s="2" t="s">
        <v>221</v>
      </c>
      <c r="D3">
        <v>50</v>
      </c>
      <c r="E3" t="s">
        <v>225</v>
      </c>
      <c r="F3" t="s">
        <v>226</v>
      </c>
    </row>
    <row r="4" spans="1:6" x14ac:dyDescent="0.3">
      <c r="A4" t="s">
        <v>227</v>
      </c>
      <c r="B4" t="s">
        <v>126</v>
      </c>
      <c r="C4" s="2" t="s">
        <v>221</v>
      </c>
      <c r="D4">
        <v>80</v>
      </c>
      <c r="E4" t="s">
        <v>222</v>
      </c>
    </row>
    <row r="5" spans="1:6" x14ac:dyDescent="0.3">
      <c r="A5" t="s">
        <v>228</v>
      </c>
      <c r="B5" t="s">
        <v>134</v>
      </c>
      <c r="C5" s="2" t="s">
        <v>1401</v>
      </c>
      <c r="D5">
        <v>100</v>
      </c>
      <c r="E5" t="s">
        <v>222</v>
      </c>
      <c r="F5" t="s">
        <v>229</v>
      </c>
    </row>
    <row r="6" spans="1:6" x14ac:dyDescent="0.3">
      <c r="A6" t="s">
        <v>230</v>
      </c>
      <c r="B6" t="s">
        <v>132</v>
      </c>
      <c r="C6" s="2" t="s">
        <v>221</v>
      </c>
      <c r="D6">
        <v>135</v>
      </c>
      <c r="E6" t="s">
        <v>222</v>
      </c>
      <c r="F6" t="s">
        <v>231</v>
      </c>
    </row>
    <row r="7" spans="1:6" x14ac:dyDescent="0.3">
      <c r="A7" t="s">
        <v>232</v>
      </c>
      <c r="B7" t="s">
        <v>115</v>
      </c>
      <c r="C7" s="2" t="s">
        <v>221</v>
      </c>
      <c r="D7">
        <v>60</v>
      </c>
      <c r="E7" t="s">
        <v>222</v>
      </c>
      <c r="F7" t="s">
        <v>233</v>
      </c>
    </row>
    <row r="8" spans="1:6" x14ac:dyDescent="0.3">
      <c r="A8" t="s">
        <v>234</v>
      </c>
      <c r="B8" t="s">
        <v>100</v>
      </c>
      <c r="C8" s="2" t="s">
        <v>221</v>
      </c>
      <c r="D8">
        <v>0</v>
      </c>
    </row>
    <row r="9" spans="1:6" x14ac:dyDescent="0.3">
      <c r="A9" t="s">
        <v>235</v>
      </c>
      <c r="B9" t="s">
        <v>38</v>
      </c>
      <c r="C9" s="2" t="s">
        <v>221</v>
      </c>
      <c r="D9">
        <v>100</v>
      </c>
    </row>
    <row r="10" spans="1:6" x14ac:dyDescent="0.3">
      <c r="A10" t="s">
        <v>236</v>
      </c>
      <c r="B10" t="s">
        <v>82</v>
      </c>
      <c r="C10" s="2" t="s">
        <v>221</v>
      </c>
      <c r="D10">
        <v>0</v>
      </c>
    </row>
    <row r="11" spans="1:6" x14ac:dyDescent="0.3">
      <c r="A11" t="s">
        <v>237</v>
      </c>
      <c r="B11" t="s">
        <v>47</v>
      </c>
      <c r="C11" s="2" t="s">
        <v>221</v>
      </c>
      <c r="D11">
        <v>100</v>
      </c>
      <c r="F11" t="s">
        <v>238</v>
      </c>
    </row>
    <row r="12" spans="1:6" x14ac:dyDescent="0.3">
      <c r="A12" t="s">
        <v>239</v>
      </c>
      <c r="B12" t="s">
        <v>41</v>
      </c>
      <c r="C12" s="2" t="s">
        <v>221</v>
      </c>
      <c r="D12">
        <v>540</v>
      </c>
      <c r="F12" t="s">
        <v>240</v>
      </c>
    </row>
    <row r="13" spans="1:6" x14ac:dyDescent="0.3">
      <c r="A13" t="s">
        <v>241</v>
      </c>
      <c r="B13" t="s">
        <v>151</v>
      </c>
    </row>
    <row r="14" spans="1:6" x14ac:dyDescent="0.3">
      <c r="A14" t="s">
        <v>242</v>
      </c>
      <c r="B14" t="s">
        <v>145</v>
      </c>
    </row>
    <row r="15" spans="1:6" x14ac:dyDescent="0.3">
      <c r="A15" t="s">
        <v>243</v>
      </c>
      <c r="B15" t="s">
        <v>147</v>
      </c>
    </row>
    <row r="16" spans="1:6" x14ac:dyDescent="0.3">
      <c r="A16" t="s">
        <v>244</v>
      </c>
      <c r="B16" t="s">
        <v>122</v>
      </c>
      <c r="C16" s="2">
        <v>45883</v>
      </c>
      <c r="D16">
        <v>13</v>
      </c>
      <c r="F16" t="s">
        <v>245</v>
      </c>
    </row>
    <row r="17" spans="1:6" x14ac:dyDescent="0.3">
      <c r="A17" t="s">
        <v>246</v>
      </c>
      <c r="B17" t="s">
        <v>94</v>
      </c>
      <c r="C17" s="2">
        <v>45883</v>
      </c>
      <c r="D17">
        <v>10</v>
      </c>
      <c r="F17" t="s">
        <v>247</v>
      </c>
    </row>
    <row r="18" spans="1:6" x14ac:dyDescent="0.3">
      <c r="A18" t="s">
        <v>248</v>
      </c>
      <c r="B18" t="s">
        <v>108</v>
      </c>
      <c r="C18" s="2">
        <v>45883</v>
      </c>
      <c r="D18">
        <v>0</v>
      </c>
      <c r="F18" t="s">
        <v>249</v>
      </c>
    </row>
    <row r="19" spans="1:6" x14ac:dyDescent="0.3">
      <c r="A19" t="s">
        <v>250</v>
      </c>
      <c r="B19" t="s">
        <v>124</v>
      </c>
    </row>
    <row r="20" spans="1:6" x14ac:dyDescent="0.3">
      <c r="A20" t="s">
        <v>251</v>
      </c>
      <c r="B20" t="s">
        <v>120</v>
      </c>
      <c r="C20" s="2">
        <v>45778</v>
      </c>
      <c r="D20">
        <v>110</v>
      </c>
    </row>
    <row r="21" spans="1:6" x14ac:dyDescent="0.3">
      <c r="A21" t="str">
        <f>"RES_"&amp;BenchmarkResults[[#This Row],[BenchmarkID]]</f>
        <v>RES_ENG_RUN_5KM</v>
      </c>
      <c r="B21" t="s">
        <v>55</v>
      </c>
      <c r="C21" s="2">
        <v>45778</v>
      </c>
      <c r="D21">
        <v>1440</v>
      </c>
    </row>
    <row r="22" spans="1:6" x14ac:dyDescent="0.3">
      <c r="A22" t="str">
        <f>"RES_"&amp;BenchmarkResults[[#This Row],[BenchmarkID]]</f>
        <v>RES_LIFT_CLEAN_1RM</v>
      </c>
      <c r="B22" t="s">
        <v>128</v>
      </c>
      <c r="C22" s="2">
        <v>45778</v>
      </c>
      <c r="D22">
        <v>70</v>
      </c>
    </row>
    <row r="23" spans="1:6" x14ac:dyDescent="0.3">
      <c r="A23" t="str">
        <f>"RES_"&amp;BenchmarkResults[[#This Row],[BenchmarkID]]</f>
        <v>RES_LIFT_JERK_1RM</v>
      </c>
      <c r="B23" t="s">
        <v>130</v>
      </c>
      <c r="C23" s="2">
        <v>45778</v>
      </c>
      <c r="D23">
        <v>70</v>
      </c>
    </row>
    <row r="24" spans="1:6" x14ac:dyDescent="0.3">
      <c r="A24" t="str">
        <f>"RES_"&amp;BenchmarkResults[[#This Row],[BenchmarkID]]</f>
        <v>RES_LIFT_BENCH_1RM</v>
      </c>
      <c r="B24" t="s">
        <v>118</v>
      </c>
      <c r="C24" s="2">
        <v>45778</v>
      </c>
      <c r="D24">
        <v>85</v>
      </c>
    </row>
    <row r="25" spans="1:6" x14ac:dyDescent="0.3">
      <c r="A25" t="str">
        <f>"RES_"&amp;BenchmarkResults[[#This Row],[BenchmarkID]]</f>
        <v>RES_LIFT_OHS_1RM</v>
      </c>
      <c r="B25" t="s">
        <v>141</v>
      </c>
      <c r="C25" s="2">
        <v>45778</v>
      </c>
      <c r="D25">
        <v>40</v>
      </c>
    </row>
    <row r="26" spans="1:6" x14ac:dyDescent="0.3">
      <c r="A26" t="str">
        <f>"RES_"&amp;BenchmarkResults[[#This Row],[BenchmarkID]]</f>
        <v>RES_LIFT_OHP_1RM</v>
      </c>
      <c r="B26" t="s">
        <v>143</v>
      </c>
      <c r="C26" s="2">
        <v>45778</v>
      </c>
      <c r="D26">
        <v>60</v>
      </c>
    </row>
    <row r="27" spans="1:6" x14ac:dyDescent="0.3">
      <c r="A27" t="str">
        <f>"RES_"&amp;BenchmarkResults[[#This Row],[BenchmarkID]]</f>
        <v>RES_LIFT_DL_1RM</v>
      </c>
      <c r="B27" t="s">
        <v>132</v>
      </c>
      <c r="C27" s="2">
        <v>45889</v>
      </c>
      <c r="D27">
        <v>170</v>
      </c>
    </row>
    <row r="28" spans="1:6" x14ac:dyDescent="0.3">
      <c r="A28" t="str">
        <f>"RES_"&amp;BenchmarkResults[[#This Row],[BenchmarkID]]</f>
        <v>RES_ENG_RUN_5KM</v>
      </c>
      <c r="B28" t="s">
        <v>55</v>
      </c>
      <c r="C28" s="2">
        <v>45983</v>
      </c>
      <c r="D28">
        <v>1350</v>
      </c>
      <c r="F28" t="s">
        <v>252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L31" sqref="L31"/>
    </sheetView>
  </sheetViews>
  <sheetFormatPr defaultRowHeight="14.4" x14ac:dyDescent="0.3"/>
  <cols>
    <col min="1" max="1" width="14.109375" bestFit="1" customWidth="1"/>
    <col min="2" max="2" width="21.88671875" bestFit="1" customWidth="1"/>
  </cols>
  <sheetData>
    <row r="1" spans="1:2" x14ac:dyDescent="0.3">
      <c r="A1" t="s">
        <v>253</v>
      </c>
      <c r="B1" t="s">
        <v>20</v>
      </c>
    </row>
    <row r="2" spans="1:2" x14ac:dyDescent="0.3">
      <c r="A2" s="13" t="s">
        <v>254</v>
      </c>
      <c r="B2" s="13" t="s">
        <v>120</v>
      </c>
    </row>
    <row r="3" spans="1:2" x14ac:dyDescent="0.3">
      <c r="A3" s="13" t="s">
        <v>255</v>
      </c>
      <c r="B3" s="13" t="s">
        <v>134</v>
      </c>
    </row>
    <row r="4" spans="1:2" x14ac:dyDescent="0.3">
      <c r="A4" s="13" t="s">
        <v>256</v>
      </c>
      <c r="B4" s="13" t="s">
        <v>118</v>
      </c>
    </row>
    <row r="5" spans="1:2" x14ac:dyDescent="0.3">
      <c r="A5" s="13" t="s">
        <v>257</v>
      </c>
      <c r="B5" s="13" t="s">
        <v>132</v>
      </c>
    </row>
    <row r="6" spans="1:2" x14ac:dyDescent="0.3">
      <c r="A6" s="13" t="s">
        <v>258</v>
      </c>
      <c r="B6" s="13" t="s">
        <v>141</v>
      </c>
    </row>
    <row r="7" spans="1:2" x14ac:dyDescent="0.3">
      <c r="A7" s="13" t="s">
        <v>259</v>
      </c>
      <c r="B7" s="13" t="s">
        <v>128</v>
      </c>
    </row>
    <row r="8" spans="1:2" x14ac:dyDescent="0.3">
      <c r="A8" s="13" t="s">
        <v>260</v>
      </c>
      <c r="B8" s="13" t="s">
        <v>136</v>
      </c>
    </row>
    <row r="9" spans="1:2" x14ac:dyDescent="0.3">
      <c r="A9" s="13" t="s">
        <v>261</v>
      </c>
      <c r="B9" s="13" t="s">
        <v>126</v>
      </c>
    </row>
    <row r="10" spans="1:2" x14ac:dyDescent="0.3">
      <c r="A10" t="s">
        <v>262</v>
      </c>
      <c r="B10" t="s">
        <v>143</v>
      </c>
    </row>
    <row r="11" spans="1:2" x14ac:dyDescent="0.3">
      <c r="A11" t="s">
        <v>263</v>
      </c>
      <c r="B11" t="s">
        <v>130</v>
      </c>
    </row>
    <row r="12" spans="1:2" x14ac:dyDescent="0.3">
      <c r="A12" t="s">
        <v>264</v>
      </c>
      <c r="B12" t="s">
        <v>128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6"/>
  <sheetViews>
    <sheetView workbookViewId="0">
      <pane ySplit="1" topLeftCell="A197" activePane="bottomLeft" state="frozen"/>
      <selection activeCell="B1" sqref="B1"/>
      <selection pane="bottomLeft" activeCell="F226" sqref="F226"/>
    </sheetView>
  </sheetViews>
  <sheetFormatPr defaultRowHeight="14.4" x14ac:dyDescent="0.3"/>
  <cols>
    <col min="1" max="1" width="28.5546875" bestFit="1" customWidth="1"/>
    <col min="2" max="2" width="44.88671875" bestFit="1" customWidth="1"/>
    <col min="3" max="4" width="13" customWidth="1"/>
    <col min="5" max="5" width="9" customWidth="1"/>
    <col min="6" max="6" width="34.88671875" customWidth="1"/>
    <col min="7" max="7" width="15.33203125" bestFit="1" customWidth="1"/>
    <col min="8" max="8" width="23.44140625" bestFit="1" customWidth="1"/>
    <col min="9" max="9" width="22.88671875" bestFit="1" customWidth="1"/>
    <col min="10" max="10" width="22.33203125" bestFit="1" customWidth="1"/>
    <col min="11" max="11" width="14.33203125" bestFit="1" customWidth="1"/>
  </cols>
  <sheetData>
    <row r="1" spans="1:10" x14ac:dyDescent="0.3">
      <c r="A1" s="1" t="s">
        <v>253</v>
      </c>
      <c r="B1" s="1" t="s">
        <v>21</v>
      </c>
      <c r="C1" s="1" t="s">
        <v>265</v>
      </c>
      <c r="D1" s="1" t="s">
        <v>266</v>
      </c>
      <c r="E1" s="1" t="s">
        <v>24</v>
      </c>
      <c r="F1" s="1" t="s">
        <v>9</v>
      </c>
      <c r="G1" s="15" t="s">
        <v>267</v>
      </c>
      <c r="H1" s="15" t="s">
        <v>268</v>
      </c>
      <c r="I1" s="15" t="s">
        <v>269</v>
      </c>
      <c r="J1" s="15" t="s">
        <v>270</v>
      </c>
    </row>
    <row r="2" spans="1:10" x14ac:dyDescent="0.3">
      <c r="A2" t="s">
        <v>260</v>
      </c>
      <c r="B2" t="s">
        <v>271</v>
      </c>
      <c r="C2" t="s">
        <v>272</v>
      </c>
      <c r="D2" t="s">
        <v>273</v>
      </c>
      <c r="E2" t="s">
        <v>64</v>
      </c>
      <c r="F2" t="s">
        <v>274</v>
      </c>
    </row>
    <row r="3" spans="1:10" x14ac:dyDescent="0.3">
      <c r="A3" t="s">
        <v>275</v>
      </c>
      <c r="B3" t="s">
        <v>165</v>
      </c>
      <c r="C3" t="s">
        <v>272</v>
      </c>
      <c r="D3" t="s">
        <v>273</v>
      </c>
      <c r="E3" t="s">
        <v>64</v>
      </c>
      <c r="G3" t="s">
        <v>5</v>
      </c>
      <c r="H3" t="s">
        <v>260</v>
      </c>
      <c r="I3">
        <v>85</v>
      </c>
      <c r="J3">
        <v>2.5</v>
      </c>
    </row>
    <row r="4" spans="1:10" x14ac:dyDescent="0.3">
      <c r="A4" t="s">
        <v>276</v>
      </c>
      <c r="B4" t="s">
        <v>277</v>
      </c>
      <c r="C4" t="s">
        <v>272</v>
      </c>
      <c r="D4" t="s">
        <v>273</v>
      </c>
      <c r="E4" t="s">
        <v>64</v>
      </c>
      <c r="F4" t="s">
        <v>278</v>
      </c>
      <c r="G4" t="s">
        <v>5</v>
      </c>
      <c r="H4" t="s">
        <v>260</v>
      </c>
      <c r="I4">
        <v>85</v>
      </c>
      <c r="J4">
        <v>2.5</v>
      </c>
    </row>
    <row r="5" spans="1:10" x14ac:dyDescent="0.3">
      <c r="A5" t="s">
        <v>258</v>
      </c>
      <c r="B5" t="s">
        <v>279</v>
      </c>
      <c r="C5" t="s">
        <v>272</v>
      </c>
      <c r="D5" t="s">
        <v>280</v>
      </c>
      <c r="E5" t="s">
        <v>64</v>
      </c>
    </row>
    <row r="6" spans="1:10" x14ac:dyDescent="0.3">
      <c r="A6" t="s">
        <v>261</v>
      </c>
      <c r="B6" t="s">
        <v>281</v>
      </c>
      <c r="C6" t="s">
        <v>272</v>
      </c>
      <c r="D6" t="s">
        <v>273</v>
      </c>
      <c r="E6" t="s">
        <v>64</v>
      </c>
      <c r="F6" t="s">
        <v>282</v>
      </c>
    </row>
    <row r="7" spans="1:10" x14ac:dyDescent="0.3">
      <c r="A7" t="s">
        <v>259</v>
      </c>
      <c r="B7" t="s">
        <v>163</v>
      </c>
      <c r="C7" t="s">
        <v>272</v>
      </c>
      <c r="D7" t="s">
        <v>273</v>
      </c>
      <c r="E7" t="s">
        <v>64</v>
      </c>
      <c r="G7" t="s">
        <v>5</v>
      </c>
      <c r="H7" t="s">
        <v>264</v>
      </c>
      <c r="I7">
        <v>80</v>
      </c>
      <c r="J7">
        <v>2.5</v>
      </c>
    </row>
    <row r="8" spans="1:10" x14ac:dyDescent="0.3">
      <c r="A8" t="s">
        <v>283</v>
      </c>
      <c r="B8" t="s">
        <v>284</v>
      </c>
      <c r="C8" t="s">
        <v>272</v>
      </c>
      <c r="D8" t="s">
        <v>273</v>
      </c>
      <c r="E8" t="s">
        <v>64</v>
      </c>
      <c r="G8" t="s">
        <v>5</v>
      </c>
      <c r="H8" t="s">
        <v>264</v>
      </c>
      <c r="I8">
        <v>85</v>
      </c>
      <c r="J8">
        <v>2.5</v>
      </c>
    </row>
    <row r="9" spans="1:10" x14ac:dyDescent="0.3">
      <c r="A9" t="s">
        <v>285</v>
      </c>
      <c r="B9" t="s">
        <v>286</v>
      </c>
      <c r="C9" t="s">
        <v>272</v>
      </c>
      <c r="D9" t="s">
        <v>273</v>
      </c>
      <c r="E9" t="s">
        <v>64</v>
      </c>
      <c r="F9" t="s">
        <v>287</v>
      </c>
    </row>
    <row r="10" spans="1:10" x14ac:dyDescent="0.3">
      <c r="A10" t="s">
        <v>263</v>
      </c>
      <c r="B10" t="s">
        <v>288</v>
      </c>
      <c r="C10" t="s">
        <v>272</v>
      </c>
      <c r="D10" t="s">
        <v>273</v>
      </c>
      <c r="E10" t="s">
        <v>64</v>
      </c>
      <c r="F10" t="s">
        <v>289</v>
      </c>
    </row>
    <row r="11" spans="1:10" x14ac:dyDescent="0.3">
      <c r="A11" t="s">
        <v>290</v>
      </c>
      <c r="B11" t="s">
        <v>291</v>
      </c>
      <c r="C11" t="s">
        <v>272</v>
      </c>
      <c r="D11" t="s">
        <v>273</v>
      </c>
      <c r="E11" t="s">
        <v>64</v>
      </c>
    </row>
    <row r="12" spans="1:10" x14ac:dyDescent="0.3">
      <c r="A12" t="s">
        <v>292</v>
      </c>
      <c r="B12" t="s">
        <v>293</v>
      </c>
      <c r="C12" t="s">
        <v>272</v>
      </c>
      <c r="D12" t="s">
        <v>280</v>
      </c>
      <c r="E12" t="s">
        <v>64</v>
      </c>
    </row>
    <row r="13" spans="1:10" x14ac:dyDescent="0.3">
      <c r="A13" t="s">
        <v>262</v>
      </c>
      <c r="B13" t="s">
        <v>294</v>
      </c>
      <c r="C13" t="s">
        <v>272</v>
      </c>
      <c r="D13" t="s">
        <v>280</v>
      </c>
      <c r="E13" t="s">
        <v>64</v>
      </c>
      <c r="F13" t="s">
        <v>295</v>
      </c>
      <c r="G13" t="s">
        <v>5</v>
      </c>
      <c r="H13" t="s">
        <v>263</v>
      </c>
      <c r="I13">
        <v>0.7</v>
      </c>
      <c r="J13">
        <v>2.5</v>
      </c>
    </row>
    <row r="14" spans="1:10" x14ac:dyDescent="0.3">
      <c r="A14" t="s">
        <v>296</v>
      </c>
      <c r="B14" t="s">
        <v>297</v>
      </c>
      <c r="C14" t="s">
        <v>272</v>
      </c>
      <c r="D14" t="s">
        <v>280</v>
      </c>
      <c r="E14" t="s">
        <v>64</v>
      </c>
    </row>
    <row r="15" spans="1:10" x14ac:dyDescent="0.3">
      <c r="A15" t="s">
        <v>298</v>
      </c>
      <c r="B15" t="s">
        <v>299</v>
      </c>
      <c r="C15" t="s">
        <v>272</v>
      </c>
      <c r="D15" t="s">
        <v>280</v>
      </c>
      <c r="E15" t="s">
        <v>64</v>
      </c>
    </row>
    <row r="16" spans="1:10" x14ac:dyDescent="0.3">
      <c r="A16" t="s">
        <v>300</v>
      </c>
      <c r="B16" t="s">
        <v>301</v>
      </c>
      <c r="C16" t="s">
        <v>272</v>
      </c>
      <c r="D16" t="s">
        <v>280</v>
      </c>
      <c r="E16" t="s">
        <v>64</v>
      </c>
    </row>
    <row r="17" spans="1:6" x14ac:dyDescent="0.3">
      <c r="A17" t="s">
        <v>302</v>
      </c>
      <c r="B17" t="s">
        <v>303</v>
      </c>
      <c r="C17" t="s">
        <v>272</v>
      </c>
      <c r="D17" t="s">
        <v>280</v>
      </c>
      <c r="E17" t="s">
        <v>64</v>
      </c>
    </row>
    <row r="18" spans="1:6" x14ac:dyDescent="0.3">
      <c r="A18" t="s">
        <v>304</v>
      </c>
      <c r="B18" t="s">
        <v>305</v>
      </c>
      <c r="C18" t="s">
        <v>272</v>
      </c>
      <c r="D18" t="s">
        <v>280</v>
      </c>
      <c r="E18" t="s">
        <v>64</v>
      </c>
      <c r="F18" t="s">
        <v>306</v>
      </c>
    </row>
    <row r="19" spans="1:6" x14ac:dyDescent="0.3">
      <c r="A19" t="s">
        <v>307</v>
      </c>
      <c r="B19" t="s">
        <v>308</v>
      </c>
      <c r="C19" t="s">
        <v>272</v>
      </c>
      <c r="D19" t="s">
        <v>280</v>
      </c>
      <c r="E19" t="s">
        <v>64</v>
      </c>
    </row>
    <row r="20" spans="1:6" x14ac:dyDescent="0.3">
      <c r="A20" t="s">
        <v>309</v>
      </c>
      <c r="B20" t="s">
        <v>310</v>
      </c>
      <c r="C20" t="s">
        <v>272</v>
      </c>
      <c r="D20" t="s">
        <v>311</v>
      </c>
      <c r="E20" t="s">
        <v>64</v>
      </c>
    </row>
    <row r="21" spans="1:6" x14ac:dyDescent="0.3">
      <c r="A21" t="s">
        <v>256</v>
      </c>
      <c r="B21" t="s">
        <v>312</v>
      </c>
      <c r="C21" t="s">
        <v>272</v>
      </c>
      <c r="D21" t="s">
        <v>280</v>
      </c>
      <c r="E21" t="s">
        <v>64</v>
      </c>
      <c r="F21" t="s">
        <v>313</v>
      </c>
    </row>
    <row r="22" spans="1:6" x14ac:dyDescent="0.3">
      <c r="A22" t="s">
        <v>314</v>
      </c>
      <c r="B22" t="s">
        <v>315</v>
      </c>
      <c r="C22" t="s">
        <v>272</v>
      </c>
      <c r="D22" t="s">
        <v>311</v>
      </c>
      <c r="E22" t="s">
        <v>64</v>
      </c>
    </row>
    <row r="23" spans="1:6" x14ac:dyDescent="0.3">
      <c r="A23" t="s">
        <v>316</v>
      </c>
      <c r="B23" t="s">
        <v>317</v>
      </c>
      <c r="C23" t="s">
        <v>272</v>
      </c>
      <c r="D23" t="s">
        <v>311</v>
      </c>
      <c r="E23" t="s">
        <v>64</v>
      </c>
    </row>
    <row r="24" spans="1:6" x14ac:dyDescent="0.3">
      <c r="A24" t="s">
        <v>318</v>
      </c>
      <c r="B24" t="s">
        <v>319</v>
      </c>
      <c r="C24" t="s">
        <v>272</v>
      </c>
      <c r="D24" t="s">
        <v>311</v>
      </c>
      <c r="E24" t="s">
        <v>64</v>
      </c>
    </row>
    <row r="25" spans="1:6" x14ac:dyDescent="0.3">
      <c r="A25" t="s">
        <v>320</v>
      </c>
      <c r="B25" t="s">
        <v>171</v>
      </c>
      <c r="C25" t="s">
        <v>272</v>
      </c>
      <c r="D25" t="s">
        <v>280</v>
      </c>
      <c r="E25" t="s">
        <v>64</v>
      </c>
      <c r="F25" t="s">
        <v>321</v>
      </c>
    </row>
    <row r="26" spans="1:6" x14ac:dyDescent="0.3">
      <c r="A26" t="s">
        <v>322</v>
      </c>
      <c r="B26" t="s">
        <v>323</v>
      </c>
      <c r="C26" t="s">
        <v>272</v>
      </c>
      <c r="D26" t="s">
        <v>311</v>
      </c>
      <c r="E26" t="s">
        <v>64</v>
      </c>
      <c r="F26" t="s">
        <v>324</v>
      </c>
    </row>
    <row r="27" spans="1:6" x14ac:dyDescent="0.3">
      <c r="A27" t="s">
        <v>325</v>
      </c>
      <c r="B27" t="s">
        <v>326</v>
      </c>
      <c r="C27" t="s">
        <v>272</v>
      </c>
      <c r="D27" t="s">
        <v>311</v>
      </c>
      <c r="E27" t="s">
        <v>64</v>
      </c>
      <c r="F27" t="s">
        <v>327</v>
      </c>
    </row>
    <row r="28" spans="1:6" x14ac:dyDescent="0.3">
      <c r="A28" t="s">
        <v>328</v>
      </c>
      <c r="B28" t="s">
        <v>329</v>
      </c>
      <c r="C28" t="s">
        <v>330</v>
      </c>
      <c r="D28" t="s">
        <v>273</v>
      </c>
      <c r="E28" t="s">
        <v>64</v>
      </c>
      <c r="F28" t="s">
        <v>331</v>
      </c>
    </row>
    <row r="29" spans="1:6" x14ac:dyDescent="0.3">
      <c r="A29" t="s">
        <v>332</v>
      </c>
      <c r="B29" t="s">
        <v>333</v>
      </c>
      <c r="C29" t="s">
        <v>330</v>
      </c>
      <c r="D29" t="s">
        <v>273</v>
      </c>
      <c r="E29" t="s">
        <v>64</v>
      </c>
      <c r="F29" t="s">
        <v>334</v>
      </c>
    </row>
    <row r="30" spans="1:6" x14ac:dyDescent="0.3">
      <c r="A30" t="s">
        <v>335</v>
      </c>
      <c r="B30" t="s">
        <v>336</v>
      </c>
      <c r="C30" t="s">
        <v>330</v>
      </c>
      <c r="D30" t="s">
        <v>273</v>
      </c>
      <c r="E30" t="s">
        <v>64</v>
      </c>
      <c r="F30" t="s">
        <v>337</v>
      </c>
    </row>
    <row r="31" spans="1:6" x14ac:dyDescent="0.3">
      <c r="A31" t="s">
        <v>338</v>
      </c>
      <c r="B31" t="s">
        <v>339</v>
      </c>
      <c r="C31" t="s">
        <v>330</v>
      </c>
      <c r="D31" t="s">
        <v>280</v>
      </c>
      <c r="E31" t="s">
        <v>64</v>
      </c>
      <c r="F31" t="s">
        <v>340</v>
      </c>
    </row>
    <row r="32" spans="1:6" x14ac:dyDescent="0.3">
      <c r="A32" t="s">
        <v>341</v>
      </c>
      <c r="B32" t="s">
        <v>342</v>
      </c>
      <c r="C32" t="s">
        <v>330</v>
      </c>
      <c r="D32" t="s">
        <v>280</v>
      </c>
      <c r="E32" t="s">
        <v>64</v>
      </c>
      <c r="F32" t="s">
        <v>340</v>
      </c>
    </row>
    <row r="33" spans="1:6" x14ac:dyDescent="0.3">
      <c r="A33" t="s">
        <v>343</v>
      </c>
      <c r="B33" t="s">
        <v>344</v>
      </c>
      <c r="C33" t="s">
        <v>330</v>
      </c>
      <c r="D33" t="s">
        <v>280</v>
      </c>
      <c r="E33" t="s">
        <v>64</v>
      </c>
      <c r="F33" t="s">
        <v>340</v>
      </c>
    </row>
    <row r="34" spans="1:6" x14ac:dyDescent="0.3">
      <c r="A34" t="s">
        <v>345</v>
      </c>
      <c r="B34" t="s">
        <v>346</v>
      </c>
      <c r="C34" t="s">
        <v>330</v>
      </c>
      <c r="D34" t="s">
        <v>280</v>
      </c>
      <c r="E34" t="s">
        <v>64</v>
      </c>
    </row>
    <row r="35" spans="1:6" x14ac:dyDescent="0.3">
      <c r="A35" t="s">
        <v>347</v>
      </c>
      <c r="B35" t="s">
        <v>348</v>
      </c>
      <c r="C35" t="s">
        <v>330</v>
      </c>
      <c r="D35" t="s">
        <v>311</v>
      </c>
      <c r="E35" t="s">
        <v>64</v>
      </c>
      <c r="F35" t="s">
        <v>327</v>
      </c>
    </row>
    <row r="36" spans="1:6" x14ac:dyDescent="0.3">
      <c r="A36" t="s">
        <v>349</v>
      </c>
      <c r="B36" t="s">
        <v>350</v>
      </c>
      <c r="C36" t="s">
        <v>330</v>
      </c>
      <c r="D36" t="s">
        <v>311</v>
      </c>
      <c r="E36" t="s">
        <v>64</v>
      </c>
      <c r="F36" t="s">
        <v>340</v>
      </c>
    </row>
    <row r="37" spans="1:6" x14ac:dyDescent="0.3">
      <c r="A37" t="s">
        <v>351</v>
      </c>
      <c r="B37" t="s">
        <v>352</v>
      </c>
      <c r="C37" t="s">
        <v>330</v>
      </c>
      <c r="D37" t="s">
        <v>311</v>
      </c>
      <c r="E37" t="s">
        <v>64</v>
      </c>
      <c r="F37" t="s">
        <v>331</v>
      </c>
    </row>
    <row r="38" spans="1:6" x14ac:dyDescent="0.3">
      <c r="A38" t="s">
        <v>353</v>
      </c>
      <c r="B38" t="s">
        <v>354</v>
      </c>
      <c r="C38" t="s">
        <v>330</v>
      </c>
      <c r="D38" t="s">
        <v>311</v>
      </c>
      <c r="E38" t="s">
        <v>64</v>
      </c>
      <c r="F38" t="s">
        <v>355</v>
      </c>
    </row>
    <row r="39" spans="1:6" x14ac:dyDescent="0.3">
      <c r="A39" t="s">
        <v>356</v>
      </c>
      <c r="B39" t="s">
        <v>357</v>
      </c>
      <c r="C39" t="s">
        <v>330</v>
      </c>
      <c r="D39" t="s">
        <v>311</v>
      </c>
      <c r="E39" t="s">
        <v>64</v>
      </c>
      <c r="F39" t="s">
        <v>358</v>
      </c>
    </row>
    <row r="40" spans="1:6" x14ac:dyDescent="0.3">
      <c r="A40" t="s">
        <v>359</v>
      </c>
      <c r="B40" t="s">
        <v>360</v>
      </c>
      <c r="C40" t="s">
        <v>361</v>
      </c>
      <c r="D40" t="s">
        <v>273</v>
      </c>
      <c r="E40" t="s">
        <v>64</v>
      </c>
      <c r="F40" t="s">
        <v>331</v>
      </c>
    </row>
    <row r="41" spans="1:6" x14ac:dyDescent="0.3">
      <c r="A41" t="s">
        <v>362</v>
      </c>
      <c r="B41" t="s">
        <v>363</v>
      </c>
      <c r="C41" t="s">
        <v>361</v>
      </c>
      <c r="D41" t="s">
        <v>273</v>
      </c>
      <c r="E41" t="s">
        <v>64</v>
      </c>
      <c r="F41" t="s">
        <v>331</v>
      </c>
    </row>
    <row r="42" spans="1:6" x14ac:dyDescent="0.3">
      <c r="A42" t="s">
        <v>364</v>
      </c>
      <c r="B42" t="s">
        <v>365</v>
      </c>
      <c r="C42" t="s">
        <v>361</v>
      </c>
      <c r="D42" t="s">
        <v>280</v>
      </c>
      <c r="E42" t="s">
        <v>64</v>
      </c>
      <c r="F42" t="s">
        <v>366</v>
      </c>
    </row>
    <row r="43" spans="1:6" x14ac:dyDescent="0.3">
      <c r="A43" t="s">
        <v>367</v>
      </c>
      <c r="B43" t="s">
        <v>368</v>
      </c>
      <c r="C43" t="s">
        <v>361</v>
      </c>
      <c r="D43" t="s">
        <v>280</v>
      </c>
      <c r="E43" t="s">
        <v>64</v>
      </c>
    </row>
    <row r="44" spans="1:6" x14ac:dyDescent="0.3">
      <c r="A44" t="s">
        <v>369</v>
      </c>
      <c r="B44" t="s">
        <v>370</v>
      </c>
      <c r="C44" t="s">
        <v>361</v>
      </c>
      <c r="D44" t="s">
        <v>280</v>
      </c>
      <c r="E44" t="s">
        <v>64</v>
      </c>
      <c r="F44" t="s">
        <v>371</v>
      </c>
    </row>
    <row r="45" spans="1:6" x14ac:dyDescent="0.3">
      <c r="A45" t="s">
        <v>372</v>
      </c>
      <c r="B45" t="s">
        <v>373</v>
      </c>
      <c r="C45" t="s">
        <v>361</v>
      </c>
      <c r="D45" t="s">
        <v>280</v>
      </c>
      <c r="E45" t="s">
        <v>64</v>
      </c>
    </row>
    <row r="46" spans="1:6" x14ac:dyDescent="0.3">
      <c r="A46" t="s">
        <v>374</v>
      </c>
      <c r="B46" t="s">
        <v>375</v>
      </c>
      <c r="C46" t="s">
        <v>361</v>
      </c>
      <c r="D46" t="s">
        <v>376</v>
      </c>
      <c r="E46" t="s">
        <v>29</v>
      </c>
      <c r="F46" t="s">
        <v>377</v>
      </c>
    </row>
    <row r="47" spans="1:6" x14ac:dyDescent="0.3">
      <c r="A47" t="s">
        <v>378</v>
      </c>
      <c r="B47" t="s">
        <v>379</v>
      </c>
      <c r="C47" t="s">
        <v>361</v>
      </c>
      <c r="D47" t="s">
        <v>376</v>
      </c>
      <c r="E47" t="s">
        <v>29</v>
      </c>
      <c r="F47" t="s">
        <v>380</v>
      </c>
    </row>
    <row r="48" spans="1:6" x14ac:dyDescent="0.3">
      <c r="A48" t="s">
        <v>381</v>
      </c>
      <c r="B48" t="s">
        <v>382</v>
      </c>
      <c r="C48" t="s">
        <v>361</v>
      </c>
      <c r="D48" t="s">
        <v>383</v>
      </c>
      <c r="E48" t="s">
        <v>29</v>
      </c>
      <c r="F48" t="s">
        <v>384</v>
      </c>
    </row>
    <row r="49" spans="1:6" x14ac:dyDescent="0.3">
      <c r="A49" t="s">
        <v>385</v>
      </c>
      <c r="B49" t="s">
        <v>386</v>
      </c>
      <c r="C49" t="s">
        <v>361</v>
      </c>
      <c r="D49" t="s">
        <v>376</v>
      </c>
      <c r="E49" t="s">
        <v>85</v>
      </c>
      <c r="F49" t="s">
        <v>387</v>
      </c>
    </row>
    <row r="50" spans="1:6" x14ac:dyDescent="0.3">
      <c r="A50" t="s">
        <v>388</v>
      </c>
      <c r="B50" t="s">
        <v>389</v>
      </c>
      <c r="C50" t="s">
        <v>390</v>
      </c>
      <c r="D50" t="s">
        <v>390</v>
      </c>
      <c r="E50" t="s">
        <v>29</v>
      </c>
      <c r="F50" t="s">
        <v>391</v>
      </c>
    </row>
    <row r="51" spans="1:6" x14ac:dyDescent="0.3">
      <c r="A51" t="s">
        <v>392</v>
      </c>
      <c r="B51" t="s">
        <v>393</v>
      </c>
      <c r="C51" t="s">
        <v>390</v>
      </c>
      <c r="D51" t="s">
        <v>390</v>
      </c>
      <c r="E51" t="s">
        <v>29</v>
      </c>
    </row>
    <row r="52" spans="1:6" x14ac:dyDescent="0.3">
      <c r="A52" t="s">
        <v>394</v>
      </c>
      <c r="B52" t="s">
        <v>395</v>
      </c>
      <c r="C52" t="s">
        <v>390</v>
      </c>
      <c r="D52" t="s">
        <v>390</v>
      </c>
      <c r="E52" t="s">
        <v>29</v>
      </c>
    </row>
    <row r="53" spans="1:6" x14ac:dyDescent="0.3">
      <c r="A53" t="s">
        <v>396</v>
      </c>
      <c r="B53" t="s">
        <v>397</v>
      </c>
      <c r="C53" t="s">
        <v>390</v>
      </c>
      <c r="D53" t="s">
        <v>390</v>
      </c>
      <c r="E53" t="s">
        <v>29</v>
      </c>
    </row>
    <row r="54" spans="1:6" x14ac:dyDescent="0.3">
      <c r="A54" t="s">
        <v>398</v>
      </c>
      <c r="B54" t="s">
        <v>399</v>
      </c>
      <c r="C54" t="s">
        <v>390</v>
      </c>
      <c r="D54" t="s">
        <v>390</v>
      </c>
      <c r="E54" t="s">
        <v>29</v>
      </c>
    </row>
    <row r="55" spans="1:6" x14ac:dyDescent="0.3">
      <c r="A55" t="s">
        <v>400</v>
      </c>
      <c r="B55" t="s">
        <v>111</v>
      </c>
      <c r="C55" t="s">
        <v>390</v>
      </c>
      <c r="D55" t="s">
        <v>390</v>
      </c>
      <c r="E55" t="s">
        <v>29</v>
      </c>
    </row>
    <row r="56" spans="1:6" x14ac:dyDescent="0.3">
      <c r="A56" t="s">
        <v>401</v>
      </c>
      <c r="B56" t="s">
        <v>402</v>
      </c>
      <c r="C56" t="s">
        <v>390</v>
      </c>
      <c r="D56" t="s">
        <v>390</v>
      </c>
      <c r="E56" t="s">
        <v>29</v>
      </c>
    </row>
    <row r="57" spans="1:6" x14ac:dyDescent="0.3">
      <c r="A57" t="s">
        <v>403</v>
      </c>
      <c r="B57" t="s">
        <v>404</v>
      </c>
      <c r="C57" t="s">
        <v>390</v>
      </c>
      <c r="D57" t="s">
        <v>390</v>
      </c>
      <c r="E57" t="s">
        <v>29</v>
      </c>
      <c r="F57" t="s">
        <v>405</v>
      </c>
    </row>
    <row r="58" spans="1:6" x14ac:dyDescent="0.3">
      <c r="A58" t="s">
        <v>406</v>
      </c>
      <c r="B58" t="s">
        <v>407</v>
      </c>
      <c r="C58" t="s">
        <v>390</v>
      </c>
      <c r="D58" t="s">
        <v>383</v>
      </c>
      <c r="E58" t="s">
        <v>85</v>
      </c>
      <c r="F58" t="s">
        <v>408</v>
      </c>
    </row>
    <row r="59" spans="1:6" x14ac:dyDescent="0.3">
      <c r="A59" t="s">
        <v>409</v>
      </c>
      <c r="B59" t="s">
        <v>410</v>
      </c>
      <c r="C59" t="s">
        <v>390</v>
      </c>
      <c r="D59" t="s">
        <v>383</v>
      </c>
      <c r="E59" t="s">
        <v>411</v>
      </c>
    </row>
    <row r="60" spans="1:6" x14ac:dyDescent="0.3">
      <c r="A60" t="s">
        <v>412</v>
      </c>
      <c r="B60" t="s">
        <v>413</v>
      </c>
      <c r="C60" t="s">
        <v>390</v>
      </c>
      <c r="D60" t="s">
        <v>390</v>
      </c>
      <c r="E60" t="s">
        <v>29</v>
      </c>
      <c r="F60" t="s">
        <v>414</v>
      </c>
    </row>
    <row r="61" spans="1:6" x14ac:dyDescent="0.3">
      <c r="A61" t="s">
        <v>415</v>
      </c>
      <c r="B61" t="s">
        <v>416</v>
      </c>
      <c r="C61" t="s">
        <v>390</v>
      </c>
      <c r="D61" t="s">
        <v>383</v>
      </c>
      <c r="E61" t="s">
        <v>29</v>
      </c>
      <c r="F61" t="s">
        <v>417</v>
      </c>
    </row>
    <row r="62" spans="1:6" x14ac:dyDescent="0.3">
      <c r="A62" t="s">
        <v>418</v>
      </c>
      <c r="B62" t="s">
        <v>419</v>
      </c>
      <c r="C62" t="s">
        <v>390</v>
      </c>
      <c r="D62" t="s">
        <v>383</v>
      </c>
      <c r="E62" t="s">
        <v>29</v>
      </c>
    </row>
    <row r="63" spans="1:6" x14ac:dyDescent="0.3">
      <c r="A63" t="s">
        <v>420</v>
      </c>
      <c r="B63" t="s">
        <v>421</v>
      </c>
      <c r="C63" t="s">
        <v>390</v>
      </c>
      <c r="D63" t="s">
        <v>376</v>
      </c>
      <c r="E63" t="s">
        <v>29</v>
      </c>
      <c r="F63" t="s">
        <v>177</v>
      </c>
    </row>
    <row r="64" spans="1:6" x14ac:dyDescent="0.3">
      <c r="A64" t="s">
        <v>422</v>
      </c>
      <c r="B64" t="s">
        <v>423</v>
      </c>
      <c r="C64" t="s">
        <v>390</v>
      </c>
      <c r="D64" t="s">
        <v>376</v>
      </c>
      <c r="E64" t="s">
        <v>29</v>
      </c>
      <c r="F64" t="s">
        <v>424</v>
      </c>
    </row>
    <row r="65" spans="1:6" x14ac:dyDescent="0.3">
      <c r="A65" t="s">
        <v>425</v>
      </c>
      <c r="B65" t="s">
        <v>426</v>
      </c>
      <c r="C65" t="s">
        <v>390</v>
      </c>
      <c r="D65" t="s">
        <v>376</v>
      </c>
      <c r="E65" t="s">
        <v>29</v>
      </c>
      <c r="F65" t="s">
        <v>427</v>
      </c>
    </row>
    <row r="66" spans="1:6" x14ac:dyDescent="0.3">
      <c r="A66" t="s">
        <v>428</v>
      </c>
      <c r="B66" t="s">
        <v>429</v>
      </c>
      <c r="C66" t="s">
        <v>390</v>
      </c>
      <c r="D66" t="s">
        <v>311</v>
      </c>
      <c r="E66" t="s">
        <v>29</v>
      </c>
    </row>
    <row r="67" spans="1:6" x14ac:dyDescent="0.3">
      <c r="A67" t="s">
        <v>430</v>
      </c>
      <c r="B67" t="s">
        <v>431</v>
      </c>
      <c r="C67" t="s">
        <v>390</v>
      </c>
      <c r="D67" t="s">
        <v>311</v>
      </c>
      <c r="E67" t="s">
        <v>29</v>
      </c>
    </row>
    <row r="68" spans="1:6" x14ac:dyDescent="0.3">
      <c r="A68" t="s">
        <v>432</v>
      </c>
      <c r="B68" t="s">
        <v>433</v>
      </c>
      <c r="C68" t="s">
        <v>390</v>
      </c>
      <c r="D68" t="s">
        <v>311</v>
      </c>
      <c r="E68" t="s">
        <v>29</v>
      </c>
    </row>
    <row r="69" spans="1:6" x14ac:dyDescent="0.3">
      <c r="A69" t="s">
        <v>434</v>
      </c>
      <c r="B69" t="s">
        <v>435</v>
      </c>
      <c r="C69" t="s">
        <v>390</v>
      </c>
      <c r="D69" t="s">
        <v>311</v>
      </c>
      <c r="E69" t="s">
        <v>29</v>
      </c>
      <c r="F69" t="s">
        <v>436</v>
      </c>
    </row>
    <row r="70" spans="1:6" x14ac:dyDescent="0.3">
      <c r="A70" t="s">
        <v>437</v>
      </c>
      <c r="B70" t="s">
        <v>438</v>
      </c>
      <c r="C70" t="s">
        <v>390</v>
      </c>
      <c r="D70" t="s">
        <v>311</v>
      </c>
      <c r="E70" t="s">
        <v>411</v>
      </c>
    </row>
    <row r="71" spans="1:6" x14ac:dyDescent="0.3">
      <c r="A71" t="s">
        <v>439</v>
      </c>
      <c r="B71" t="s">
        <v>440</v>
      </c>
      <c r="C71" t="s">
        <v>390</v>
      </c>
      <c r="D71" t="s">
        <v>311</v>
      </c>
      <c r="E71" t="s">
        <v>29</v>
      </c>
    </row>
    <row r="72" spans="1:6" x14ac:dyDescent="0.3">
      <c r="A72" t="s">
        <v>441</v>
      </c>
      <c r="B72" t="s">
        <v>442</v>
      </c>
      <c r="C72" t="s">
        <v>390</v>
      </c>
      <c r="D72" t="s">
        <v>390</v>
      </c>
      <c r="E72" t="s">
        <v>29</v>
      </c>
    </row>
    <row r="73" spans="1:6" x14ac:dyDescent="0.3">
      <c r="A73" t="s">
        <v>443</v>
      </c>
      <c r="B73" t="s">
        <v>444</v>
      </c>
      <c r="C73" t="s">
        <v>390</v>
      </c>
      <c r="D73" t="s">
        <v>390</v>
      </c>
      <c r="E73" t="s">
        <v>29</v>
      </c>
    </row>
    <row r="74" spans="1:6" x14ac:dyDescent="0.3">
      <c r="A74" t="s">
        <v>445</v>
      </c>
      <c r="B74" t="s">
        <v>446</v>
      </c>
      <c r="C74" t="s">
        <v>447</v>
      </c>
      <c r="D74" t="s">
        <v>448</v>
      </c>
      <c r="E74" t="s">
        <v>376</v>
      </c>
      <c r="F74" t="s">
        <v>411</v>
      </c>
    </row>
    <row r="75" spans="1:6" x14ac:dyDescent="0.3">
      <c r="A75" t="s">
        <v>449</v>
      </c>
      <c r="B75" t="s">
        <v>48</v>
      </c>
      <c r="C75" t="s">
        <v>450</v>
      </c>
      <c r="D75" t="s">
        <v>376</v>
      </c>
      <c r="E75" t="s">
        <v>411</v>
      </c>
      <c r="F75" t="s">
        <v>451</v>
      </c>
    </row>
    <row r="76" spans="1:6" x14ac:dyDescent="0.3">
      <c r="A76" t="s">
        <v>452</v>
      </c>
      <c r="B76" t="s">
        <v>453</v>
      </c>
      <c r="C76" t="s">
        <v>450</v>
      </c>
      <c r="D76" t="s">
        <v>376</v>
      </c>
      <c r="E76" t="s">
        <v>454</v>
      </c>
      <c r="F76" t="s">
        <v>455</v>
      </c>
    </row>
    <row r="77" spans="1:6" x14ac:dyDescent="0.3">
      <c r="A77" t="s">
        <v>456</v>
      </c>
      <c r="B77" t="s">
        <v>457</v>
      </c>
      <c r="C77" t="s">
        <v>447</v>
      </c>
      <c r="D77" t="s">
        <v>448</v>
      </c>
      <c r="E77" t="s">
        <v>376</v>
      </c>
      <c r="F77" t="s">
        <v>411</v>
      </c>
    </row>
    <row r="78" spans="1:6" x14ac:dyDescent="0.3">
      <c r="A78" t="s">
        <v>458</v>
      </c>
      <c r="B78" t="s">
        <v>459</v>
      </c>
      <c r="C78" t="s">
        <v>450</v>
      </c>
      <c r="D78" t="s">
        <v>376</v>
      </c>
      <c r="E78" t="s">
        <v>454</v>
      </c>
      <c r="F78" t="s">
        <v>460</v>
      </c>
    </row>
    <row r="79" spans="1:6" x14ac:dyDescent="0.3">
      <c r="A79" t="s">
        <v>461</v>
      </c>
      <c r="B79" t="s">
        <v>462</v>
      </c>
      <c r="C79" t="s">
        <v>447</v>
      </c>
      <c r="D79" t="s">
        <v>448</v>
      </c>
      <c r="E79" t="s">
        <v>376</v>
      </c>
      <c r="F79" t="s">
        <v>411</v>
      </c>
    </row>
    <row r="80" spans="1:6" x14ac:dyDescent="0.3">
      <c r="A80" t="s">
        <v>463</v>
      </c>
      <c r="B80" t="s">
        <v>464</v>
      </c>
      <c r="C80" t="s">
        <v>450</v>
      </c>
      <c r="D80" t="s">
        <v>376</v>
      </c>
      <c r="E80" t="s">
        <v>454</v>
      </c>
    </row>
    <row r="81" spans="1:6" x14ac:dyDescent="0.3">
      <c r="A81" t="s">
        <v>465</v>
      </c>
      <c r="B81" t="s">
        <v>466</v>
      </c>
      <c r="C81" t="s">
        <v>376</v>
      </c>
      <c r="D81" t="s">
        <v>376</v>
      </c>
      <c r="E81" t="s">
        <v>411</v>
      </c>
      <c r="F81" t="s">
        <v>467</v>
      </c>
    </row>
    <row r="82" spans="1:6" x14ac:dyDescent="0.3">
      <c r="A82" t="s">
        <v>468</v>
      </c>
      <c r="B82" t="s">
        <v>469</v>
      </c>
      <c r="C82" t="s">
        <v>447</v>
      </c>
      <c r="D82" t="s">
        <v>470</v>
      </c>
      <c r="E82" t="s">
        <v>376</v>
      </c>
      <c r="F82" t="s">
        <v>411</v>
      </c>
    </row>
    <row r="83" spans="1:6" x14ac:dyDescent="0.3">
      <c r="A83" t="s">
        <v>471</v>
      </c>
      <c r="B83" t="s">
        <v>472</v>
      </c>
      <c r="C83" t="s">
        <v>376</v>
      </c>
      <c r="D83" t="s">
        <v>376</v>
      </c>
      <c r="E83" t="s">
        <v>411</v>
      </c>
      <c r="F83" t="s">
        <v>473</v>
      </c>
    </row>
    <row r="84" spans="1:6" x14ac:dyDescent="0.3">
      <c r="A84" t="s">
        <v>474</v>
      </c>
      <c r="B84" t="s">
        <v>475</v>
      </c>
      <c r="C84" t="s">
        <v>376</v>
      </c>
      <c r="D84" t="s">
        <v>376</v>
      </c>
      <c r="E84" t="s">
        <v>411</v>
      </c>
      <c r="F84" t="s">
        <v>473</v>
      </c>
    </row>
    <row r="85" spans="1:6" x14ac:dyDescent="0.3">
      <c r="A85" t="s">
        <v>476</v>
      </c>
      <c r="B85" t="s">
        <v>477</v>
      </c>
      <c r="C85" t="s">
        <v>376</v>
      </c>
      <c r="D85" t="s">
        <v>376</v>
      </c>
      <c r="E85" t="s">
        <v>411</v>
      </c>
      <c r="F85" t="s">
        <v>478</v>
      </c>
    </row>
    <row r="86" spans="1:6" x14ac:dyDescent="0.3">
      <c r="A86" t="s">
        <v>479</v>
      </c>
      <c r="B86" t="s">
        <v>480</v>
      </c>
      <c r="C86" t="s">
        <v>376</v>
      </c>
      <c r="D86" t="s">
        <v>376</v>
      </c>
      <c r="E86" t="s">
        <v>411</v>
      </c>
      <c r="F86" t="s">
        <v>481</v>
      </c>
    </row>
    <row r="87" spans="1:6" x14ac:dyDescent="0.3">
      <c r="A87" t="s">
        <v>482</v>
      </c>
      <c r="B87" t="s">
        <v>483</v>
      </c>
      <c r="C87" t="s">
        <v>447</v>
      </c>
      <c r="D87" t="s">
        <v>470</v>
      </c>
      <c r="E87" t="s">
        <v>376</v>
      </c>
      <c r="F87" t="s">
        <v>411</v>
      </c>
    </row>
    <row r="88" spans="1:6" x14ac:dyDescent="0.3">
      <c r="A88" t="s">
        <v>484</v>
      </c>
      <c r="B88" t="s">
        <v>485</v>
      </c>
      <c r="C88" t="s">
        <v>376</v>
      </c>
      <c r="D88" t="s">
        <v>376</v>
      </c>
      <c r="E88" t="s">
        <v>29</v>
      </c>
      <c r="F88" t="s">
        <v>486</v>
      </c>
    </row>
    <row r="89" spans="1:6" x14ac:dyDescent="0.3">
      <c r="A89" t="s">
        <v>487</v>
      </c>
      <c r="B89" t="s">
        <v>488</v>
      </c>
      <c r="C89" t="s">
        <v>272</v>
      </c>
      <c r="D89" t="s">
        <v>376</v>
      </c>
      <c r="E89" t="s">
        <v>85</v>
      </c>
      <c r="F89" t="s">
        <v>489</v>
      </c>
    </row>
    <row r="90" spans="1:6" x14ac:dyDescent="0.3">
      <c r="A90" t="s">
        <v>490</v>
      </c>
      <c r="B90" t="s">
        <v>491</v>
      </c>
      <c r="C90" t="s">
        <v>492</v>
      </c>
      <c r="D90" t="s">
        <v>376</v>
      </c>
      <c r="E90" t="s">
        <v>85</v>
      </c>
      <c r="F90" t="s">
        <v>478</v>
      </c>
    </row>
    <row r="91" spans="1:6" x14ac:dyDescent="0.3">
      <c r="A91" t="s">
        <v>493</v>
      </c>
      <c r="B91" t="s">
        <v>494</v>
      </c>
      <c r="C91" t="s">
        <v>492</v>
      </c>
      <c r="D91" t="s">
        <v>376</v>
      </c>
      <c r="E91" t="s">
        <v>85</v>
      </c>
      <c r="F91" t="s">
        <v>495</v>
      </c>
    </row>
    <row r="92" spans="1:6" x14ac:dyDescent="0.3">
      <c r="A92" t="s">
        <v>496</v>
      </c>
      <c r="B92" t="s">
        <v>497</v>
      </c>
      <c r="C92" t="s">
        <v>492</v>
      </c>
      <c r="D92" t="s">
        <v>280</v>
      </c>
      <c r="E92" t="s">
        <v>85</v>
      </c>
      <c r="F92" t="s">
        <v>498</v>
      </c>
    </row>
    <row r="93" spans="1:6" x14ac:dyDescent="0.3">
      <c r="A93" t="s">
        <v>499</v>
      </c>
      <c r="B93" t="s">
        <v>500</v>
      </c>
      <c r="C93" t="s">
        <v>492</v>
      </c>
      <c r="D93" t="s">
        <v>376</v>
      </c>
      <c r="E93" t="s">
        <v>85</v>
      </c>
      <c r="F93" t="s">
        <v>501</v>
      </c>
    </row>
    <row r="94" spans="1:6" x14ac:dyDescent="0.3">
      <c r="A94" t="s">
        <v>502</v>
      </c>
      <c r="B94" t="s">
        <v>503</v>
      </c>
      <c r="C94" t="s">
        <v>492</v>
      </c>
      <c r="D94" t="s">
        <v>280</v>
      </c>
      <c r="E94" t="s">
        <v>64</v>
      </c>
      <c r="F94" t="s">
        <v>504</v>
      </c>
    </row>
    <row r="95" spans="1:6" x14ac:dyDescent="0.3">
      <c r="A95" t="s">
        <v>505</v>
      </c>
      <c r="B95" t="s">
        <v>506</v>
      </c>
      <c r="C95" t="s">
        <v>492</v>
      </c>
      <c r="D95" t="s">
        <v>280</v>
      </c>
      <c r="E95" t="s">
        <v>64</v>
      </c>
      <c r="F95" t="s">
        <v>507</v>
      </c>
    </row>
    <row r="96" spans="1:6" x14ac:dyDescent="0.3">
      <c r="A96" t="s">
        <v>508</v>
      </c>
      <c r="B96" t="s">
        <v>509</v>
      </c>
      <c r="C96" t="s">
        <v>492</v>
      </c>
      <c r="D96" t="s">
        <v>280</v>
      </c>
      <c r="E96" t="s">
        <v>64</v>
      </c>
      <c r="F96" t="s">
        <v>510</v>
      </c>
    </row>
    <row r="97" spans="1:10" x14ac:dyDescent="0.3">
      <c r="A97" t="s">
        <v>511</v>
      </c>
      <c r="B97" t="s">
        <v>512</v>
      </c>
      <c r="C97" t="s">
        <v>492</v>
      </c>
      <c r="D97" t="s">
        <v>376</v>
      </c>
      <c r="E97" t="s">
        <v>85</v>
      </c>
      <c r="F97" t="s">
        <v>513</v>
      </c>
    </row>
    <row r="98" spans="1:10" x14ac:dyDescent="0.3">
      <c r="A98" t="s">
        <v>514</v>
      </c>
      <c r="B98" t="s">
        <v>515</v>
      </c>
      <c r="C98" t="s">
        <v>516</v>
      </c>
      <c r="D98" t="s">
        <v>376</v>
      </c>
      <c r="E98" t="s">
        <v>29</v>
      </c>
      <c r="F98" t="s">
        <v>517</v>
      </c>
    </row>
    <row r="99" spans="1:10" x14ac:dyDescent="0.3">
      <c r="A99" t="s">
        <v>518</v>
      </c>
      <c r="B99" t="s">
        <v>519</v>
      </c>
      <c r="C99" t="s">
        <v>516</v>
      </c>
      <c r="D99" t="s">
        <v>383</v>
      </c>
      <c r="E99" t="s">
        <v>29</v>
      </c>
      <c r="F99" t="s">
        <v>520</v>
      </c>
    </row>
    <row r="100" spans="1:10" x14ac:dyDescent="0.3">
      <c r="A100" t="s">
        <v>521</v>
      </c>
      <c r="B100" t="s">
        <v>522</v>
      </c>
      <c r="C100" t="s">
        <v>390</v>
      </c>
      <c r="D100" t="s">
        <v>383</v>
      </c>
      <c r="E100" t="s">
        <v>29</v>
      </c>
      <c r="F100" t="s">
        <v>523</v>
      </c>
    </row>
    <row r="101" spans="1:10" x14ac:dyDescent="0.3">
      <c r="A101" t="s">
        <v>524</v>
      </c>
      <c r="B101" t="s">
        <v>525</v>
      </c>
      <c r="C101" t="s">
        <v>390</v>
      </c>
      <c r="D101" t="s">
        <v>311</v>
      </c>
      <c r="E101" t="s">
        <v>411</v>
      </c>
      <c r="F101" t="s">
        <v>526</v>
      </c>
    </row>
    <row r="102" spans="1:10" x14ac:dyDescent="0.3">
      <c r="A102" t="s">
        <v>527</v>
      </c>
      <c r="B102" t="s">
        <v>528</v>
      </c>
      <c r="C102" t="s">
        <v>390</v>
      </c>
      <c r="D102" t="s">
        <v>311</v>
      </c>
      <c r="E102" t="s">
        <v>411</v>
      </c>
      <c r="F102" t="s">
        <v>529</v>
      </c>
    </row>
    <row r="103" spans="1:10" x14ac:dyDescent="0.3">
      <c r="A103" t="s">
        <v>530</v>
      </c>
      <c r="B103" t="s">
        <v>531</v>
      </c>
      <c r="C103" t="s">
        <v>390</v>
      </c>
      <c r="D103" t="s">
        <v>311</v>
      </c>
      <c r="E103" t="s">
        <v>411</v>
      </c>
    </row>
    <row r="104" spans="1:10" x14ac:dyDescent="0.3">
      <c r="A104" t="s">
        <v>532</v>
      </c>
      <c r="B104" t="s">
        <v>533</v>
      </c>
      <c r="C104" t="s">
        <v>390</v>
      </c>
      <c r="D104" t="s">
        <v>311</v>
      </c>
      <c r="E104" t="s">
        <v>411</v>
      </c>
    </row>
    <row r="105" spans="1:10" x14ac:dyDescent="0.3">
      <c r="A105" t="s">
        <v>534</v>
      </c>
      <c r="B105" t="s">
        <v>535</v>
      </c>
      <c r="C105" t="s">
        <v>272</v>
      </c>
      <c r="D105" t="s">
        <v>311</v>
      </c>
      <c r="E105" t="s">
        <v>64</v>
      </c>
      <c r="F105" t="s">
        <v>536</v>
      </c>
      <c r="G105" t="s">
        <v>5</v>
      </c>
      <c r="H105" t="s">
        <v>260</v>
      </c>
      <c r="I105">
        <v>100</v>
      </c>
      <c r="J105">
        <v>2.5</v>
      </c>
    </row>
    <row r="106" spans="1:10" x14ac:dyDescent="0.3">
      <c r="A106" t="s">
        <v>537</v>
      </c>
      <c r="B106" t="s">
        <v>538</v>
      </c>
      <c r="C106" t="s">
        <v>272</v>
      </c>
      <c r="D106" t="s">
        <v>311</v>
      </c>
      <c r="E106" t="s">
        <v>64</v>
      </c>
      <c r="F106" t="s">
        <v>536</v>
      </c>
      <c r="G106" t="s">
        <v>5</v>
      </c>
      <c r="H106" t="s">
        <v>264</v>
      </c>
      <c r="I106">
        <v>100</v>
      </c>
      <c r="J106">
        <v>2.5</v>
      </c>
    </row>
    <row r="107" spans="1:10" x14ac:dyDescent="0.3">
      <c r="A107" t="s">
        <v>539</v>
      </c>
      <c r="B107" t="s">
        <v>540</v>
      </c>
      <c r="C107" t="s">
        <v>272</v>
      </c>
      <c r="D107" t="s">
        <v>273</v>
      </c>
      <c r="E107" t="s">
        <v>64</v>
      </c>
      <c r="G107" t="s">
        <v>5</v>
      </c>
      <c r="H107" t="s">
        <v>264</v>
      </c>
      <c r="I107">
        <v>75</v>
      </c>
      <c r="J107">
        <v>2.5</v>
      </c>
    </row>
    <row r="108" spans="1:10" x14ac:dyDescent="0.3">
      <c r="A108" t="s">
        <v>541</v>
      </c>
      <c r="B108" t="s">
        <v>542</v>
      </c>
      <c r="C108" t="s">
        <v>272</v>
      </c>
      <c r="D108" t="s">
        <v>273</v>
      </c>
      <c r="E108" t="s">
        <v>64</v>
      </c>
      <c r="G108" t="s">
        <v>5</v>
      </c>
      <c r="H108" t="s">
        <v>260</v>
      </c>
      <c r="I108">
        <v>80</v>
      </c>
      <c r="J108">
        <v>2.5</v>
      </c>
    </row>
    <row r="109" spans="1:10" x14ac:dyDescent="0.3">
      <c r="A109" t="s">
        <v>543</v>
      </c>
      <c r="B109" t="s">
        <v>544</v>
      </c>
      <c r="C109" t="s">
        <v>272</v>
      </c>
      <c r="D109" t="s">
        <v>311</v>
      </c>
      <c r="E109" t="s">
        <v>64</v>
      </c>
      <c r="F109" t="s">
        <v>545</v>
      </c>
    </row>
    <row r="110" spans="1:10" x14ac:dyDescent="0.3">
      <c r="A110" t="s">
        <v>546</v>
      </c>
      <c r="B110" t="s">
        <v>547</v>
      </c>
      <c r="C110" t="s">
        <v>272</v>
      </c>
      <c r="D110" t="s">
        <v>311</v>
      </c>
      <c r="E110" t="s">
        <v>64</v>
      </c>
    </row>
    <row r="111" spans="1:10" x14ac:dyDescent="0.3">
      <c r="A111" t="s">
        <v>548</v>
      </c>
      <c r="B111" t="s">
        <v>549</v>
      </c>
      <c r="C111" t="s">
        <v>272</v>
      </c>
      <c r="D111" t="s">
        <v>311</v>
      </c>
      <c r="E111" t="s">
        <v>64</v>
      </c>
      <c r="F111" t="s">
        <v>550</v>
      </c>
    </row>
    <row r="112" spans="1:10" x14ac:dyDescent="0.3">
      <c r="A112" t="s">
        <v>551</v>
      </c>
      <c r="B112" t="s">
        <v>552</v>
      </c>
      <c r="C112" t="s">
        <v>272</v>
      </c>
      <c r="D112" t="s">
        <v>311</v>
      </c>
      <c r="E112" t="s">
        <v>64</v>
      </c>
    </row>
    <row r="113" spans="1:6" x14ac:dyDescent="0.3">
      <c r="A113" t="s">
        <v>553</v>
      </c>
      <c r="B113" t="s">
        <v>554</v>
      </c>
      <c r="C113" t="s">
        <v>272</v>
      </c>
      <c r="D113" t="s">
        <v>311</v>
      </c>
      <c r="E113" t="s">
        <v>64</v>
      </c>
      <c r="F113" t="s">
        <v>555</v>
      </c>
    </row>
    <row r="114" spans="1:6" x14ac:dyDescent="0.3">
      <c r="A114" t="s">
        <v>556</v>
      </c>
      <c r="B114" t="s">
        <v>557</v>
      </c>
      <c r="C114" t="s">
        <v>272</v>
      </c>
      <c r="D114" t="s">
        <v>311</v>
      </c>
      <c r="E114" t="s">
        <v>64</v>
      </c>
      <c r="F114" t="s">
        <v>558</v>
      </c>
    </row>
    <row r="115" spans="1:6" x14ac:dyDescent="0.3">
      <c r="A115" t="s">
        <v>559</v>
      </c>
      <c r="B115" t="s">
        <v>560</v>
      </c>
      <c r="C115" t="s">
        <v>272</v>
      </c>
      <c r="D115" t="s">
        <v>311</v>
      </c>
      <c r="E115" t="s">
        <v>64</v>
      </c>
    </row>
    <row r="116" spans="1:6" x14ac:dyDescent="0.3">
      <c r="A116" t="s">
        <v>561</v>
      </c>
      <c r="B116" t="s">
        <v>562</v>
      </c>
      <c r="C116" t="s">
        <v>390</v>
      </c>
      <c r="D116" t="s">
        <v>311</v>
      </c>
      <c r="E116" t="s">
        <v>29</v>
      </c>
      <c r="F116" t="s">
        <v>391</v>
      </c>
    </row>
    <row r="117" spans="1:6" x14ac:dyDescent="0.3">
      <c r="A117" t="s">
        <v>563</v>
      </c>
      <c r="B117" t="s">
        <v>564</v>
      </c>
      <c r="C117" t="s">
        <v>390</v>
      </c>
      <c r="D117" t="s">
        <v>376</v>
      </c>
      <c r="E117" t="s">
        <v>29</v>
      </c>
    </row>
    <row r="118" spans="1:6" x14ac:dyDescent="0.3">
      <c r="A118" t="s">
        <v>565</v>
      </c>
      <c r="B118" t="s">
        <v>566</v>
      </c>
      <c r="C118" t="s">
        <v>390</v>
      </c>
      <c r="D118" t="s">
        <v>311</v>
      </c>
      <c r="E118" t="s">
        <v>29</v>
      </c>
    </row>
    <row r="119" spans="1:6" x14ac:dyDescent="0.3">
      <c r="A119" t="s">
        <v>567</v>
      </c>
      <c r="B119" t="s">
        <v>568</v>
      </c>
      <c r="C119" t="s">
        <v>390</v>
      </c>
      <c r="D119" t="s">
        <v>311</v>
      </c>
      <c r="E119" t="s">
        <v>411</v>
      </c>
    </row>
    <row r="120" spans="1:6" x14ac:dyDescent="0.3">
      <c r="A120" t="s">
        <v>569</v>
      </c>
      <c r="B120" t="s">
        <v>570</v>
      </c>
      <c r="C120" t="s">
        <v>272</v>
      </c>
      <c r="D120" t="s">
        <v>273</v>
      </c>
      <c r="E120" t="s">
        <v>64</v>
      </c>
      <c r="F120" t="s">
        <v>571</v>
      </c>
    </row>
    <row r="121" spans="1:6" x14ac:dyDescent="0.3">
      <c r="A121" t="s">
        <v>572</v>
      </c>
      <c r="B121" t="s">
        <v>573</v>
      </c>
      <c r="C121" t="s">
        <v>272</v>
      </c>
      <c r="D121" t="s">
        <v>273</v>
      </c>
      <c r="E121" t="s">
        <v>64</v>
      </c>
      <c r="F121" t="s">
        <v>571</v>
      </c>
    </row>
    <row r="122" spans="1:6" x14ac:dyDescent="0.3">
      <c r="A122" t="s">
        <v>574</v>
      </c>
      <c r="B122" t="s">
        <v>58</v>
      </c>
      <c r="C122" t="s">
        <v>575</v>
      </c>
      <c r="D122" t="s">
        <v>376</v>
      </c>
      <c r="E122" t="s">
        <v>29</v>
      </c>
      <c r="F122" t="s">
        <v>576</v>
      </c>
    </row>
    <row r="123" spans="1:6" x14ac:dyDescent="0.3">
      <c r="A123" t="s">
        <v>577</v>
      </c>
      <c r="B123" t="s">
        <v>578</v>
      </c>
      <c r="C123" t="s">
        <v>575</v>
      </c>
      <c r="D123" t="s">
        <v>376</v>
      </c>
      <c r="E123" t="s">
        <v>29</v>
      </c>
      <c r="F123" t="s">
        <v>576</v>
      </c>
    </row>
    <row r="124" spans="1:6" x14ac:dyDescent="0.3">
      <c r="A124" t="s">
        <v>579</v>
      </c>
      <c r="B124" t="s">
        <v>580</v>
      </c>
      <c r="C124" t="s">
        <v>575</v>
      </c>
      <c r="D124" t="s">
        <v>311</v>
      </c>
      <c r="E124" t="s">
        <v>29</v>
      </c>
      <c r="F124" t="s">
        <v>576</v>
      </c>
    </row>
    <row r="125" spans="1:6" x14ac:dyDescent="0.3">
      <c r="A125" t="s">
        <v>581</v>
      </c>
      <c r="B125" t="s">
        <v>582</v>
      </c>
      <c r="C125" t="s">
        <v>575</v>
      </c>
      <c r="D125" t="s">
        <v>383</v>
      </c>
      <c r="E125" t="s">
        <v>60</v>
      </c>
      <c r="F125" t="s">
        <v>583</v>
      </c>
    </row>
    <row r="126" spans="1:6" x14ac:dyDescent="0.3">
      <c r="A126" t="s">
        <v>584</v>
      </c>
      <c r="B126" t="s">
        <v>103</v>
      </c>
      <c r="C126" t="s">
        <v>390</v>
      </c>
      <c r="D126" t="s">
        <v>390</v>
      </c>
      <c r="E126" t="s">
        <v>29</v>
      </c>
      <c r="F126" t="s">
        <v>585</v>
      </c>
    </row>
    <row r="127" spans="1:6" x14ac:dyDescent="0.3">
      <c r="A127" t="s">
        <v>586</v>
      </c>
      <c r="B127" t="s">
        <v>587</v>
      </c>
      <c r="C127" t="s">
        <v>390</v>
      </c>
      <c r="D127" t="s">
        <v>390</v>
      </c>
      <c r="E127" t="s">
        <v>29</v>
      </c>
      <c r="F127" t="s">
        <v>588</v>
      </c>
    </row>
    <row r="128" spans="1:6" x14ac:dyDescent="0.3">
      <c r="A128" t="s">
        <v>589</v>
      </c>
      <c r="B128" t="s">
        <v>590</v>
      </c>
      <c r="C128" t="s">
        <v>330</v>
      </c>
      <c r="D128" t="s">
        <v>383</v>
      </c>
      <c r="E128" t="s">
        <v>29</v>
      </c>
      <c r="F128" t="s">
        <v>384</v>
      </c>
    </row>
    <row r="129" spans="1:6" x14ac:dyDescent="0.3">
      <c r="A129" t="s">
        <v>591</v>
      </c>
      <c r="B129" t="s">
        <v>592</v>
      </c>
      <c r="C129" t="s">
        <v>593</v>
      </c>
      <c r="D129" t="s">
        <v>311</v>
      </c>
      <c r="E129" t="s">
        <v>85</v>
      </c>
      <c r="F129" t="s">
        <v>594</v>
      </c>
    </row>
    <row r="130" spans="1:6" x14ac:dyDescent="0.3">
      <c r="A130" t="s">
        <v>595</v>
      </c>
      <c r="B130" t="s">
        <v>596</v>
      </c>
      <c r="C130" t="s">
        <v>450</v>
      </c>
      <c r="D130" t="s">
        <v>376</v>
      </c>
      <c r="E130" t="s">
        <v>454</v>
      </c>
      <c r="F130" t="s">
        <v>597</v>
      </c>
    </row>
    <row r="131" spans="1:6" x14ac:dyDescent="0.3">
      <c r="A131" t="s">
        <v>598</v>
      </c>
      <c r="B131" t="s">
        <v>599</v>
      </c>
      <c r="C131" t="s">
        <v>450</v>
      </c>
      <c r="D131" t="s">
        <v>376</v>
      </c>
      <c r="E131" t="s">
        <v>454</v>
      </c>
      <c r="F131" t="s">
        <v>600</v>
      </c>
    </row>
    <row r="132" spans="1:6" x14ac:dyDescent="0.3">
      <c r="A132" t="s">
        <v>601</v>
      </c>
      <c r="B132" t="s">
        <v>602</v>
      </c>
      <c r="C132" t="s">
        <v>272</v>
      </c>
      <c r="D132" t="s">
        <v>273</v>
      </c>
      <c r="E132" t="s">
        <v>64</v>
      </c>
    </row>
    <row r="133" spans="1:6" x14ac:dyDescent="0.3">
      <c r="A133" t="s">
        <v>603</v>
      </c>
      <c r="B133" t="s">
        <v>604</v>
      </c>
      <c r="C133" t="s">
        <v>272</v>
      </c>
      <c r="D133" t="s">
        <v>280</v>
      </c>
      <c r="E133" t="s">
        <v>64</v>
      </c>
      <c r="F133" t="s">
        <v>605</v>
      </c>
    </row>
    <row r="134" spans="1:6" x14ac:dyDescent="0.3">
      <c r="A134" t="s">
        <v>606</v>
      </c>
      <c r="B134" t="s">
        <v>607</v>
      </c>
      <c r="C134" t="s">
        <v>390</v>
      </c>
      <c r="D134" t="s">
        <v>383</v>
      </c>
      <c r="E134" t="s">
        <v>85</v>
      </c>
      <c r="F134" t="s">
        <v>608</v>
      </c>
    </row>
    <row r="135" spans="1:6" x14ac:dyDescent="0.3">
      <c r="A135" t="s">
        <v>609</v>
      </c>
      <c r="B135" t="s">
        <v>610</v>
      </c>
      <c r="C135" t="s">
        <v>390</v>
      </c>
      <c r="D135" t="s">
        <v>390</v>
      </c>
      <c r="E135" t="s">
        <v>29</v>
      </c>
      <c r="F135" t="s">
        <v>611</v>
      </c>
    </row>
    <row r="136" spans="1:6" x14ac:dyDescent="0.3">
      <c r="A136" t="s">
        <v>612</v>
      </c>
      <c r="B136" t="s">
        <v>613</v>
      </c>
      <c r="C136" t="s">
        <v>390</v>
      </c>
      <c r="D136" t="s">
        <v>383</v>
      </c>
      <c r="E136" t="s">
        <v>29</v>
      </c>
      <c r="F136" t="s">
        <v>614</v>
      </c>
    </row>
    <row r="137" spans="1:6" x14ac:dyDescent="0.3">
      <c r="A137" t="s">
        <v>615</v>
      </c>
      <c r="B137" t="s">
        <v>616</v>
      </c>
      <c r="C137" t="s">
        <v>390</v>
      </c>
      <c r="D137" t="s">
        <v>390</v>
      </c>
      <c r="E137" t="s">
        <v>29</v>
      </c>
      <c r="F137" t="s">
        <v>617</v>
      </c>
    </row>
    <row r="138" spans="1:6" x14ac:dyDescent="0.3">
      <c r="A138" t="s">
        <v>618</v>
      </c>
      <c r="B138" t="s">
        <v>619</v>
      </c>
      <c r="C138" t="s">
        <v>447</v>
      </c>
      <c r="D138" t="s">
        <v>448</v>
      </c>
      <c r="E138" t="s">
        <v>376</v>
      </c>
      <c r="F138" t="s">
        <v>411</v>
      </c>
    </row>
    <row r="139" spans="1:6" x14ac:dyDescent="0.3">
      <c r="A139" t="s">
        <v>620</v>
      </c>
      <c r="B139" t="s">
        <v>621</v>
      </c>
      <c r="C139" t="s">
        <v>376</v>
      </c>
      <c r="D139" t="s">
        <v>376</v>
      </c>
      <c r="E139" t="s">
        <v>411</v>
      </c>
    </row>
    <row r="140" spans="1:6" x14ac:dyDescent="0.3">
      <c r="A140" t="s">
        <v>622</v>
      </c>
      <c r="B140" t="s">
        <v>623</v>
      </c>
      <c r="C140" t="s">
        <v>447</v>
      </c>
      <c r="D140" t="s">
        <v>448</v>
      </c>
      <c r="E140" t="s">
        <v>376</v>
      </c>
      <c r="F140" t="s">
        <v>411</v>
      </c>
    </row>
    <row r="141" spans="1:6" x14ac:dyDescent="0.3">
      <c r="A141" t="s">
        <v>624</v>
      </c>
      <c r="B141" t="s">
        <v>625</v>
      </c>
      <c r="C141" t="s">
        <v>450</v>
      </c>
      <c r="D141" t="s">
        <v>376</v>
      </c>
      <c r="E141" t="s">
        <v>411</v>
      </c>
      <c r="F141" t="s">
        <v>626</v>
      </c>
    </row>
    <row r="142" spans="1:6" x14ac:dyDescent="0.3">
      <c r="A142" t="s">
        <v>627</v>
      </c>
      <c r="B142" t="s">
        <v>628</v>
      </c>
      <c r="C142" t="s">
        <v>629</v>
      </c>
      <c r="D142" t="s">
        <v>629</v>
      </c>
      <c r="E142" t="s">
        <v>411</v>
      </c>
      <c r="F142" t="s">
        <v>630</v>
      </c>
    </row>
    <row r="143" spans="1:6" x14ac:dyDescent="0.3">
      <c r="A143" t="s">
        <v>631</v>
      </c>
      <c r="B143" t="s">
        <v>632</v>
      </c>
      <c r="C143" t="s">
        <v>629</v>
      </c>
      <c r="D143" t="s">
        <v>629</v>
      </c>
      <c r="E143" t="s">
        <v>411</v>
      </c>
      <c r="F143" t="s">
        <v>630</v>
      </c>
    </row>
    <row r="144" spans="1:6" x14ac:dyDescent="0.3">
      <c r="A144" t="s">
        <v>633</v>
      </c>
      <c r="B144" t="s">
        <v>634</v>
      </c>
      <c r="C144" t="s">
        <v>629</v>
      </c>
      <c r="D144" t="s">
        <v>629</v>
      </c>
      <c r="E144" t="s">
        <v>411</v>
      </c>
      <c r="F144" t="s">
        <v>635</v>
      </c>
    </row>
    <row r="145" spans="1:10" x14ac:dyDescent="0.3">
      <c r="A145" t="s">
        <v>636</v>
      </c>
      <c r="B145" t="s">
        <v>637</v>
      </c>
      <c r="C145" t="s">
        <v>390</v>
      </c>
      <c r="D145" t="s">
        <v>383</v>
      </c>
      <c r="E145" t="s">
        <v>29</v>
      </c>
      <c r="F145" t="s">
        <v>638</v>
      </c>
    </row>
    <row r="146" spans="1:10" x14ac:dyDescent="0.3">
      <c r="A146" t="s">
        <v>639</v>
      </c>
      <c r="B146" t="s">
        <v>640</v>
      </c>
      <c r="C146" t="s">
        <v>390</v>
      </c>
      <c r="D146" t="s">
        <v>280</v>
      </c>
      <c r="E146" t="s">
        <v>29</v>
      </c>
      <c r="F146" t="s">
        <v>641</v>
      </c>
    </row>
    <row r="147" spans="1:10" x14ac:dyDescent="0.3">
      <c r="A147" t="s">
        <v>642</v>
      </c>
      <c r="B147" t="s">
        <v>643</v>
      </c>
      <c r="C147" t="s">
        <v>390</v>
      </c>
      <c r="D147" t="s">
        <v>280</v>
      </c>
      <c r="E147" t="s">
        <v>29</v>
      </c>
      <c r="F147" t="s">
        <v>644</v>
      </c>
    </row>
    <row r="148" spans="1:10" x14ac:dyDescent="0.3">
      <c r="A148" t="s">
        <v>645</v>
      </c>
      <c r="B148" t="s">
        <v>646</v>
      </c>
      <c r="C148" t="s">
        <v>390</v>
      </c>
      <c r="D148" t="s">
        <v>383</v>
      </c>
      <c r="E148" t="s">
        <v>29</v>
      </c>
      <c r="F148" t="s">
        <v>647</v>
      </c>
    </row>
    <row r="149" spans="1:10" x14ac:dyDescent="0.3">
      <c r="A149" t="s">
        <v>648</v>
      </c>
      <c r="B149" t="s">
        <v>649</v>
      </c>
      <c r="C149" t="s">
        <v>629</v>
      </c>
      <c r="D149" t="s">
        <v>629</v>
      </c>
      <c r="E149" t="s">
        <v>29</v>
      </c>
      <c r="F149" t="s">
        <v>650</v>
      </c>
    </row>
    <row r="150" spans="1:10" x14ac:dyDescent="0.3">
      <c r="A150" t="s">
        <v>651</v>
      </c>
      <c r="B150" t="s">
        <v>652</v>
      </c>
      <c r="C150" t="s">
        <v>272</v>
      </c>
      <c r="D150" t="s">
        <v>311</v>
      </c>
      <c r="E150" t="s">
        <v>64</v>
      </c>
      <c r="F150" t="s">
        <v>653</v>
      </c>
      <c r="G150" t="s">
        <v>5</v>
      </c>
      <c r="H150" t="s">
        <v>260</v>
      </c>
      <c r="I150">
        <v>125</v>
      </c>
      <c r="J150">
        <v>2.5</v>
      </c>
    </row>
    <row r="151" spans="1:10" x14ac:dyDescent="0.3">
      <c r="A151" t="s">
        <v>654</v>
      </c>
      <c r="B151" t="s">
        <v>655</v>
      </c>
      <c r="C151" t="s">
        <v>272</v>
      </c>
      <c r="D151" t="s">
        <v>311</v>
      </c>
      <c r="E151" t="s">
        <v>64</v>
      </c>
      <c r="F151" t="s">
        <v>655</v>
      </c>
      <c r="G151" t="s">
        <v>5</v>
      </c>
      <c r="H151" t="s">
        <v>260</v>
      </c>
      <c r="I151">
        <v>125</v>
      </c>
      <c r="J151">
        <v>2.5</v>
      </c>
    </row>
    <row r="152" spans="1:10" x14ac:dyDescent="0.3">
      <c r="A152" t="s">
        <v>656</v>
      </c>
      <c r="B152" t="s">
        <v>657</v>
      </c>
      <c r="C152" t="s">
        <v>272</v>
      </c>
      <c r="D152" t="s">
        <v>311</v>
      </c>
      <c r="E152" t="s">
        <v>64</v>
      </c>
      <c r="F152" t="s">
        <v>658</v>
      </c>
      <c r="G152" t="s">
        <v>5</v>
      </c>
      <c r="H152" t="s">
        <v>264</v>
      </c>
      <c r="I152">
        <v>90</v>
      </c>
      <c r="J152">
        <v>2.5</v>
      </c>
    </row>
    <row r="153" spans="1:10" x14ac:dyDescent="0.3">
      <c r="A153" t="s">
        <v>659</v>
      </c>
      <c r="B153" t="s">
        <v>660</v>
      </c>
      <c r="C153" t="s">
        <v>272</v>
      </c>
      <c r="D153" t="s">
        <v>311</v>
      </c>
      <c r="E153" t="s">
        <v>64</v>
      </c>
      <c r="F153" t="s">
        <v>661</v>
      </c>
      <c r="G153" t="s">
        <v>5</v>
      </c>
      <c r="H153" t="s">
        <v>260</v>
      </c>
      <c r="I153">
        <v>95</v>
      </c>
      <c r="J153">
        <v>2.5</v>
      </c>
    </row>
    <row r="154" spans="1:10" x14ac:dyDescent="0.3">
      <c r="A154" t="s">
        <v>662</v>
      </c>
      <c r="B154" t="s">
        <v>663</v>
      </c>
      <c r="C154" t="s">
        <v>272</v>
      </c>
      <c r="D154" t="s">
        <v>273</v>
      </c>
      <c r="E154" t="s">
        <v>64</v>
      </c>
      <c r="F154" t="s">
        <v>664</v>
      </c>
    </row>
    <row r="155" spans="1:10" x14ac:dyDescent="0.3">
      <c r="A155" t="s">
        <v>665</v>
      </c>
      <c r="B155" t="s">
        <v>666</v>
      </c>
      <c r="C155" t="s">
        <v>272</v>
      </c>
      <c r="D155" t="s">
        <v>273</v>
      </c>
      <c r="E155" t="s">
        <v>64</v>
      </c>
      <c r="F155" t="s">
        <v>667</v>
      </c>
    </row>
    <row r="156" spans="1:10" x14ac:dyDescent="0.3">
      <c r="A156" t="s">
        <v>668</v>
      </c>
      <c r="B156" t="s">
        <v>669</v>
      </c>
      <c r="C156" t="s">
        <v>272</v>
      </c>
      <c r="D156" t="s">
        <v>273</v>
      </c>
      <c r="E156" t="s">
        <v>64</v>
      </c>
      <c r="F156" t="s">
        <v>670</v>
      </c>
    </row>
    <row r="157" spans="1:10" x14ac:dyDescent="0.3">
      <c r="A157" t="s">
        <v>671</v>
      </c>
      <c r="B157" t="s">
        <v>672</v>
      </c>
      <c r="C157" t="s">
        <v>272</v>
      </c>
      <c r="D157" t="s">
        <v>311</v>
      </c>
      <c r="E157" t="s">
        <v>64</v>
      </c>
      <c r="F157" t="s">
        <v>673</v>
      </c>
    </row>
    <row r="158" spans="1:10" x14ac:dyDescent="0.3">
      <c r="A158" t="s">
        <v>674</v>
      </c>
      <c r="B158" t="s">
        <v>675</v>
      </c>
      <c r="C158" t="s">
        <v>390</v>
      </c>
      <c r="D158" t="s">
        <v>383</v>
      </c>
      <c r="E158" t="s">
        <v>29</v>
      </c>
    </row>
    <row r="159" spans="1:10" x14ac:dyDescent="0.3">
      <c r="A159" t="s">
        <v>676</v>
      </c>
      <c r="B159" t="s">
        <v>677</v>
      </c>
      <c r="C159" t="s">
        <v>390</v>
      </c>
      <c r="D159" t="s">
        <v>383</v>
      </c>
      <c r="E159" t="s">
        <v>29</v>
      </c>
    </row>
    <row r="160" spans="1:10" x14ac:dyDescent="0.3">
      <c r="A160" t="s">
        <v>678</v>
      </c>
      <c r="B160" t="s">
        <v>679</v>
      </c>
      <c r="C160" t="s">
        <v>272</v>
      </c>
      <c r="D160" t="s">
        <v>311</v>
      </c>
      <c r="E160" t="s">
        <v>64</v>
      </c>
      <c r="F160" t="s">
        <v>680</v>
      </c>
      <c r="G160" t="s">
        <v>5</v>
      </c>
      <c r="H160" t="s">
        <v>264</v>
      </c>
      <c r="I160">
        <v>125</v>
      </c>
      <c r="J160">
        <v>2.5</v>
      </c>
    </row>
    <row r="161" spans="1:10" x14ac:dyDescent="0.3">
      <c r="A161" t="s">
        <v>681</v>
      </c>
      <c r="B161" t="s">
        <v>682</v>
      </c>
      <c r="C161" t="s">
        <v>272</v>
      </c>
      <c r="D161" t="s">
        <v>311</v>
      </c>
      <c r="E161" t="s">
        <v>64</v>
      </c>
      <c r="F161" t="s">
        <v>683</v>
      </c>
      <c r="G161" t="s">
        <v>5</v>
      </c>
      <c r="H161" t="s">
        <v>264</v>
      </c>
      <c r="I161">
        <v>125</v>
      </c>
      <c r="J161">
        <v>2.5</v>
      </c>
    </row>
    <row r="162" spans="1:10" x14ac:dyDescent="0.3">
      <c r="A162" t="s">
        <v>684</v>
      </c>
      <c r="B162" t="s">
        <v>685</v>
      </c>
      <c r="C162" t="s">
        <v>390</v>
      </c>
      <c r="D162" t="s">
        <v>280</v>
      </c>
      <c r="E162" t="s">
        <v>64</v>
      </c>
      <c r="F162" t="s">
        <v>686</v>
      </c>
    </row>
    <row r="163" spans="1:10" x14ac:dyDescent="0.3">
      <c r="A163" t="s">
        <v>687</v>
      </c>
      <c r="B163" t="s">
        <v>688</v>
      </c>
      <c r="C163" t="s">
        <v>390</v>
      </c>
      <c r="D163" t="s">
        <v>311</v>
      </c>
      <c r="E163" t="s">
        <v>411</v>
      </c>
      <c r="F163" t="s">
        <v>689</v>
      </c>
    </row>
    <row r="164" spans="1:10" x14ac:dyDescent="0.3">
      <c r="A164" t="s">
        <v>690</v>
      </c>
      <c r="B164" t="s">
        <v>691</v>
      </c>
      <c r="C164" t="s">
        <v>390</v>
      </c>
      <c r="D164" t="s">
        <v>311</v>
      </c>
      <c r="E164" t="s">
        <v>29</v>
      </c>
      <c r="F164" t="s">
        <v>692</v>
      </c>
    </row>
    <row r="165" spans="1:10" x14ac:dyDescent="0.3">
      <c r="A165" t="s">
        <v>693</v>
      </c>
      <c r="B165" t="s">
        <v>694</v>
      </c>
      <c r="C165" t="s">
        <v>390</v>
      </c>
      <c r="D165" t="s">
        <v>280</v>
      </c>
      <c r="E165" t="s">
        <v>29</v>
      </c>
      <c r="F165" t="s">
        <v>695</v>
      </c>
    </row>
    <row r="166" spans="1:10" x14ac:dyDescent="0.3">
      <c r="A166" t="s">
        <v>696</v>
      </c>
      <c r="B166" t="s">
        <v>697</v>
      </c>
      <c r="C166" t="s">
        <v>390</v>
      </c>
      <c r="D166" t="s">
        <v>311</v>
      </c>
      <c r="E166" t="s">
        <v>411</v>
      </c>
      <c r="F166" t="s">
        <v>698</v>
      </c>
    </row>
    <row r="167" spans="1:10" x14ac:dyDescent="0.3">
      <c r="A167" t="s">
        <v>699</v>
      </c>
      <c r="B167" t="s">
        <v>700</v>
      </c>
      <c r="C167" t="s">
        <v>390</v>
      </c>
      <c r="D167" t="s">
        <v>383</v>
      </c>
      <c r="E167" t="s">
        <v>29</v>
      </c>
      <c r="F167" t="s">
        <v>701</v>
      </c>
    </row>
    <row r="168" spans="1:10" x14ac:dyDescent="0.3">
      <c r="A168" t="s">
        <v>702</v>
      </c>
      <c r="B168" t="s">
        <v>703</v>
      </c>
      <c r="C168" t="s">
        <v>390</v>
      </c>
      <c r="D168" t="s">
        <v>383</v>
      </c>
      <c r="E168" t="s">
        <v>29</v>
      </c>
      <c r="F168" t="s">
        <v>704</v>
      </c>
    </row>
    <row r="169" spans="1:10" x14ac:dyDescent="0.3">
      <c r="A169" t="s">
        <v>705</v>
      </c>
      <c r="B169" t="s">
        <v>706</v>
      </c>
      <c r="C169" t="s">
        <v>272</v>
      </c>
      <c r="D169" t="s">
        <v>311</v>
      </c>
      <c r="E169" t="s">
        <v>64</v>
      </c>
      <c r="F169" t="s">
        <v>707</v>
      </c>
      <c r="G169" t="s">
        <v>5</v>
      </c>
      <c r="H169" t="s">
        <v>264</v>
      </c>
      <c r="I169">
        <v>125</v>
      </c>
      <c r="J169">
        <v>2.5</v>
      </c>
    </row>
    <row r="170" spans="1:10" x14ac:dyDescent="0.3">
      <c r="A170" t="s">
        <v>708</v>
      </c>
      <c r="B170" t="s">
        <v>709</v>
      </c>
      <c r="C170" t="s">
        <v>272</v>
      </c>
      <c r="D170" t="s">
        <v>311</v>
      </c>
      <c r="E170" t="s">
        <v>64</v>
      </c>
      <c r="F170" t="s">
        <v>710</v>
      </c>
      <c r="G170" t="s">
        <v>5</v>
      </c>
      <c r="H170" t="s">
        <v>260</v>
      </c>
      <c r="I170">
        <v>125</v>
      </c>
    </row>
    <row r="171" spans="1:10" x14ac:dyDescent="0.3">
      <c r="A171" t="s">
        <v>711</v>
      </c>
      <c r="B171" t="s">
        <v>712</v>
      </c>
      <c r="C171" t="s">
        <v>390</v>
      </c>
      <c r="D171" t="s">
        <v>311</v>
      </c>
      <c r="E171" t="s">
        <v>29</v>
      </c>
      <c r="F171" t="s">
        <v>713</v>
      </c>
    </row>
    <row r="172" spans="1:10" x14ac:dyDescent="0.3">
      <c r="A172" t="s">
        <v>714</v>
      </c>
      <c r="B172" t="s">
        <v>715</v>
      </c>
      <c r="C172" t="s">
        <v>272</v>
      </c>
      <c r="D172" t="s">
        <v>311</v>
      </c>
      <c r="E172" t="s">
        <v>64</v>
      </c>
      <c r="F172" t="s">
        <v>716</v>
      </c>
    </row>
    <row r="173" spans="1:10" x14ac:dyDescent="0.3">
      <c r="A173" t="s">
        <v>717</v>
      </c>
      <c r="B173" t="s">
        <v>718</v>
      </c>
      <c r="C173" t="s">
        <v>575</v>
      </c>
      <c r="D173" t="s">
        <v>383</v>
      </c>
      <c r="E173" t="s">
        <v>29</v>
      </c>
      <c r="F173" t="s">
        <v>719</v>
      </c>
    </row>
    <row r="174" spans="1:10" x14ac:dyDescent="0.3">
      <c r="A174" t="s">
        <v>720</v>
      </c>
      <c r="B174" t="s">
        <v>721</v>
      </c>
      <c r="C174" t="s">
        <v>272</v>
      </c>
      <c r="D174" t="s">
        <v>280</v>
      </c>
      <c r="E174" t="s">
        <v>64</v>
      </c>
      <c r="F174" t="s">
        <v>722</v>
      </c>
    </row>
    <row r="175" spans="1:10" x14ac:dyDescent="0.3">
      <c r="A175" t="s">
        <v>723</v>
      </c>
      <c r="B175" t="s">
        <v>724</v>
      </c>
      <c r="C175" t="s">
        <v>390</v>
      </c>
      <c r="D175" t="s">
        <v>280</v>
      </c>
      <c r="E175" t="s">
        <v>29</v>
      </c>
      <c r="F175" t="s">
        <v>725</v>
      </c>
    </row>
    <row r="176" spans="1:10" x14ac:dyDescent="0.3">
      <c r="A176" t="s">
        <v>726</v>
      </c>
      <c r="B176" t="s">
        <v>727</v>
      </c>
      <c r="C176" t="s">
        <v>272</v>
      </c>
      <c r="D176" t="s">
        <v>311</v>
      </c>
      <c r="E176" t="s">
        <v>64</v>
      </c>
      <c r="F176" t="s">
        <v>728</v>
      </c>
    </row>
    <row r="177" spans="1:6" x14ac:dyDescent="0.3">
      <c r="A177" t="s">
        <v>729</v>
      </c>
      <c r="B177" t="s">
        <v>730</v>
      </c>
      <c r="C177" t="s">
        <v>390</v>
      </c>
      <c r="D177" t="s">
        <v>390</v>
      </c>
      <c r="E177" t="s">
        <v>29</v>
      </c>
      <c r="F177" t="s">
        <v>731</v>
      </c>
    </row>
    <row r="178" spans="1:6" x14ac:dyDescent="0.3">
      <c r="A178" t="s">
        <v>732</v>
      </c>
      <c r="B178" t="s">
        <v>733</v>
      </c>
      <c r="C178" t="s">
        <v>390</v>
      </c>
      <c r="D178" t="s">
        <v>390</v>
      </c>
      <c r="E178" t="s">
        <v>29</v>
      </c>
      <c r="F178" t="s">
        <v>734</v>
      </c>
    </row>
    <row r="179" spans="1:6" x14ac:dyDescent="0.3">
      <c r="A179" t="s">
        <v>735</v>
      </c>
      <c r="B179" t="s">
        <v>736</v>
      </c>
      <c r="C179" t="s">
        <v>390</v>
      </c>
      <c r="D179" t="s">
        <v>311</v>
      </c>
      <c r="E179" t="s">
        <v>29</v>
      </c>
      <c r="F179" t="s">
        <v>737</v>
      </c>
    </row>
    <row r="180" spans="1:6" x14ac:dyDescent="0.3">
      <c r="A180" t="s">
        <v>738</v>
      </c>
      <c r="B180" t="s">
        <v>739</v>
      </c>
      <c r="C180" t="s">
        <v>390</v>
      </c>
      <c r="D180" t="s">
        <v>390</v>
      </c>
      <c r="E180" t="s">
        <v>29</v>
      </c>
      <c r="F180" t="s">
        <v>740</v>
      </c>
    </row>
    <row r="181" spans="1:6" x14ac:dyDescent="0.3">
      <c r="A181" t="s">
        <v>741</v>
      </c>
      <c r="B181" t="s">
        <v>742</v>
      </c>
      <c r="C181" t="s">
        <v>390</v>
      </c>
      <c r="D181" t="s">
        <v>311</v>
      </c>
      <c r="E181" t="s">
        <v>29</v>
      </c>
      <c r="F181" t="s">
        <v>743</v>
      </c>
    </row>
    <row r="182" spans="1:6" x14ac:dyDescent="0.3">
      <c r="A182" t="s">
        <v>744</v>
      </c>
      <c r="B182" t="s">
        <v>745</v>
      </c>
      <c r="C182" t="s">
        <v>390</v>
      </c>
      <c r="D182" t="s">
        <v>311</v>
      </c>
      <c r="E182" t="s">
        <v>29</v>
      </c>
      <c r="F182" t="s">
        <v>746</v>
      </c>
    </row>
    <row r="183" spans="1:6" x14ac:dyDescent="0.3">
      <c r="A183" t="s">
        <v>747</v>
      </c>
      <c r="B183" t="s">
        <v>748</v>
      </c>
      <c r="C183" t="s">
        <v>390</v>
      </c>
      <c r="D183" t="s">
        <v>311</v>
      </c>
      <c r="E183" t="s">
        <v>411</v>
      </c>
      <c r="F183" t="s">
        <v>749</v>
      </c>
    </row>
    <row r="184" spans="1:6" x14ac:dyDescent="0.3">
      <c r="A184" t="s">
        <v>750</v>
      </c>
      <c r="B184" t="s">
        <v>751</v>
      </c>
      <c r="C184" t="s">
        <v>390</v>
      </c>
      <c r="D184" t="s">
        <v>311</v>
      </c>
      <c r="E184" t="s">
        <v>411</v>
      </c>
      <c r="F184" t="s">
        <v>752</v>
      </c>
    </row>
    <row r="185" spans="1:6" x14ac:dyDescent="0.3">
      <c r="A185" t="s">
        <v>753</v>
      </c>
      <c r="B185" t="s">
        <v>754</v>
      </c>
      <c r="C185" t="s">
        <v>450</v>
      </c>
      <c r="D185" t="s">
        <v>311</v>
      </c>
      <c r="E185" t="s">
        <v>29</v>
      </c>
      <c r="F185" t="s">
        <v>755</v>
      </c>
    </row>
    <row r="186" spans="1:6" x14ac:dyDescent="0.3">
      <c r="A186" t="s">
        <v>756</v>
      </c>
      <c r="B186" t="s">
        <v>757</v>
      </c>
      <c r="C186" t="s">
        <v>390</v>
      </c>
      <c r="D186" t="s">
        <v>311</v>
      </c>
      <c r="E186" t="s">
        <v>29</v>
      </c>
      <c r="F186" t="s">
        <v>758</v>
      </c>
    </row>
    <row r="187" spans="1:6" x14ac:dyDescent="0.3">
      <c r="A187" t="s">
        <v>759</v>
      </c>
      <c r="B187" t="s">
        <v>760</v>
      </c>
      <c r="C187" t="s">
        <v>272</v>
      </c>
      <c r="D187" t="s">
        <v>311</v>
      </c>
      <c r="E187" t="s">
        <v>29</v>
      </c>
      <c r="F187" t="s">
        <v>761</v>
      </c>
    </row>
    <row r="188" spans="1:6" x14ac:dyDescent="0.3">
      <c r="A188" t="s">
        <v>762</v>
      </c>
      <c r="B188" t="s">
        <v>763</v>
      </c>
      <c r="C188" t="s">
        <v>361</v>
      </c>
      <c r="D188" t="s">
        <v>280</v>
      </c>
      <c r="E188" t="s">
        <v>29</v>
      </c>
      <c r="F188" t="s">
        <v>764</v>
      </c>
    </row>
    <row r="189" spans="1:6" x14ac:dyDescent="0.3">
      <c r="A189" t="s">
        <v>765</v>
      </c>
      <c r="B189" t="s">
        <v>766</v>
      </c>
      <c r="C189" t="s">
        <v>361</v>
      </c>
      <c r="D189" t="s">
        <v>376</v>
      </c>
      <c r="E189" t="s">
        <v>85</v>
      </c>
      <c r="F189" t="s">
        <v>767</v>
      </c>
    </row>
    <row r="190" spans="1:6" x14ac:dyDescent="0.3">
      <c r="A190" t="s">
        <v>768</v>
      </c>
      <c r="B190" t="s">
        <v>769</v>
      </c>
      <c r="C190" t="s">
        <v>361</v>
      </c>
      <c r="D190" t="s">
        <v>376</v>
      </c>
      <c r="E190" t="s">
        <v>85</v>
      </c>
      <c r="F190" t="s">
        <v>770</v>
      </c>
    </row>
    <row r="191" spans="1:6" x14ac:dyDescent="0.3">
      <c r="A191" t="s">
        <v>771</v>
      </c>
      <c r="B191" t="s">
        <v>772</v>
      </c>
      <c r="C191" t="s">
        <v>390</v>
      </c>
      <c r="D191" t="s">
        <v>383</v>
      </c>
      <c r="E191" t="s">
        <v>29</v>
      </c>
      <c r="F191" t="s">
        <v>773</v>
      </c>
    </row>
    <row r="192" spans="1:6" x14ac:dyDescent="0.3">
      <c r="A192" t="s">
        <v>774</v>
      </c>
      <c r="B192" t="s">
        <v>775</v>
      </c>
      <c r="C192" t="s">
        <v>390</v>
      </c>
      <c r="D192" t="s">
        <v>383</v>
      </c>
      <c r="E192" t="s">
        <v>411</v>
      </c>
      <c r="F192" t="s">
        <v>776</v>
      </c>
    </row>
    <row r="193" spans="1:10" x14ac:dyDescent="0.3">
      <c r="A193" t="s">
        <v>777</v>
      </c>
      <c r="B193" t="s">
        <v>778</v>
      </c>
      <c r="C193" t="s">
        <v>390</v>
      </c>
      <c r="D193" t="s">
        <v>383</v>
      </c>
      <c r="E193" t="s">
        <v>411</v>
      </c>
      <c r="F193" t="s">
        <v>779</v>
      </c>
    </row>
    <row r="194" spans="1:10" x14ac:dyDescent="0.3">
      <c r="A194" t="s">
        <v>780</v>
      </c>
      <c r="B194" t="s">
        <v>781</v>
      </c>
      <c r="C194" t="s">
        <v>390</v>
      </c>
      <c r="D194" t="s">
        <v>383</v>
      </c>
      <c r="E194" t="s">
        <v>29</v>
      </c>
      <c r="F194" t="s">
        <v>782</v>
      </c>
    </row>
    <row r="195" spans="1:10" x14ac:dyDescent="0.3">
      <c r="A195" t="s">
        <v>783</v>
      </c>
      <c r="B195" t="s">
        <v>784</v>
      </c>
      <c r="C195" t="s">
        <v>390</v>
      </c>
      <c r="D195" t="s">
        <v>383</v>
      </c>
      <c r="E195" t="s">
        <v>29</v>
      </c>
      <c r="F195" t="s">
        <v>785</v>
      </c>
    </row>
    <row r="196" spans="1:10" x14ac:dyDescent="0.3">
      <c r="A196" t="s">
        <v>786</v>
      </c>
      <c r="B196" t="s">
        <v>787</v>
      </c>
      <c r="C196" t="s">
        <v>390</v>
      </c>
      <c r="D196" t="s">
        <v>383</v>
      </c>
      <c r="E196" t="s">
        <v>411</v>
      </c>
      <c r="F196" t="s">
        <v>788</v>
      </c>
    </row>
    <row r="197" spans="1:10" x14ac:dyDescent="0.3">
      <c r="A197" t="s">
        <v>789</v>
      </c>
      <c r="B197" t="s">
        <v>790</v>
      </c>
      <c r="C197" t="s">
        <v>390</v>
      </c>
      <c r="D197" t="s">
        <v>383</v>
      </c>
      <c r="E197" t="s">
        <v>29</v>
      </c>
      <c r="F197" t="s">
        <v>791</v>
      </c>
    </row>
    <row r="198" spans="1:10" x14ac:dyDescent="0.3">
      <c r="A198" t="s">
        <v>792</v>
      </c>
      <c r="B198" t="s">
        <v>793</v>
      </c>
      <c r="C198" t="s">
        <v>390</v>
      </c>
      <c r="D198" t="s">
        <v>383</v>
      </c>
      <c r="E198" t="s">
        <v>411</v>
      </c>
      <c r="F198" t="s">
        <v>794</v>
      </c>
    </row>
    <row r="199" spans="1:10" x14ac:dyDescent="0.3">
      <c r="A199" t="s">
        <v>795</v>
      </c>
      <c r="B199" t="s">
        <v>796</v>
      </c>
      <c r="C199" t="s">
        <v>272</v>
      </c>
      <c r="D199" t="s">
        <v>280</v>
      </c>
      <c r="E199" t="s">
        <v>64</v>
      </c>
      <c r="F199" t="s">
        <v>573</v>
      </c>
    </row>
    <row r="200" spans="1:10" x14ac:dyDescent="0.3">
      <c r="A200" t="s">
        <v>797</v>
      </c>
      <c r="B200" t="s">
        <v>798</v>
      </c>
      <c r="C200" t="s">
        <v>272</v>
      </c>
      <c r="D200" t="s">
        <v>280</v>
      </c>
      <c r="E200" t="s">
        <v>64</v>
      </c>
      <c r="F200" t="s">
        <v>799</v>
      </c>
    </row>
    <row r="201" spans="1:10" x14ac:dyDescent="0.3">
      <c r="A201" t="s">
        <v>800</v>
      </c>
      <c r="B201" t="s">
        <v>801</v>
      </c>
      <c r="C201" t="s">
        <v>272</v>
      </c>
      <c r="D201" t="s">
        <v>280</v>
      </c>
      <c r="E201" t="s">
        <v>64</v>
      </c>
      <c r="F201" t="s">
        <v>802</v>
      </c>
    </row>
    <row r="202" spans="1:10" x14ac:dyDescent="0.3">
      <c r="A202" t="s">
        <v>264</v>
      </c>
      <c r="B202" t="s">
        <v>803</v>
      </c>
      <c r="C202" t="s">
        <v>272</v>
      </c>
      <c r="D202" t="s">
        <v>280</v>
      </c>
      <c r="E202" t="s">
        <v>64</v>
      </c>
      <c r="F202" t="s">
        <v>803</v>
      </c>
    </row>
    <row r="203" spans="1:10" x14ac:dyDescent="0.3">
      <c r="A203" t="s">
        <v>804</v>
      </c>
      <c r="B203" t="s">
        <v>805</v>
      </c>
      <c r="C203" t="s">
        <v>272</v>
      </c>
      <c r="D203" t="s">
        <v>383</v>
      </c>
      <c r="E203" t="s">
        <v>64</v>
      </c>
      <c r="F203" t="s">
        <v>806</v>
      </c>
      <c r="G203" t="s">
        <v>5</v>
      </c>
      <c r="H203" t="s">
        <v>261</v>
      </c>
      <c r="I203">
        <v>80</v>
      </c>
      <c r="J203">
        <v>2.5</v>
      </c>
    </row>
    <row r="204" spans="1:10" x14ac:dyDescent="0.3">
      <c r="A204" t="s">
        <v>807</v>
      </c>
      <c r="B204" t="s">
        <v>808</v>
      </c>
      <c r="C204" t="s">
        <v>809</v>
      </c>
      <c r="D204" t="s">
        <v>383</v>
      </c>
      <c r="E204" t="s">
        <v>29</v>
      </c>
    </row>
    <row r="205" spans="1:10" x14ac:dyDescent="0.3">
      <c r="A205" t="s">
        <v>1465</v>
      </c>
      <c r="B205" t="s">
        <v>1466</v>
      </c>
      <c r="C205" t="s">
        <v>272</v>
      </c>
      <c r="D205" t="s">
        <v>280</v>
      </c>
      <c r="E205" t="s">
        <v>64</v>
      </c>
      <c r="F205" t="s">
        <v>1467</v>
      </c>
    </row>
    <row r="206" spans="1:10" x14ac:dyDescent="0.3">
      <c r="A206" t="s">
        <v>1470</v>
      </c>
      <c r="B206" t="s">
        <v>1471</v>
      </c>
      <c r="C206" t="s">
        <v>1476</v>
      </c>
      <c r="D206" t="s">
        <v>1476</v>
      </c>
      <c r="E206" t="s">
        <v>411</v>
      </c>
    </row>
    <row r="207" spans="1:10" x14ac:dyDescent="0.3">
      <c r="A207" t="s">
        <v>1472</v>
      </c>
      <c r="B207" t="s">
        <v>1473</v>
      </c>
      <c r="C207" t="s">
        <v>1476</v>
      </c>
      <c r="D207" t="s">
        <v>1476</v>
      </c>
      <c r="E207" t="s">
        <v>411</v>
      </c>
    </row>
    <row r="208" spans="1:10" x14ac:dyDescent="0.3">
      <c r="A208" t="s">
        <v>1474</v>
      </c>
      <c r="B208" t="s">
        <v>1475</v>
      </c>
      <c r="C208" t="s">
        <v>1476</v>
      </c>
      <c r="D208" t="s">
        <v>1476</v>
      </c>
      <c r="E208" t="s">
        <v>411</v>
      </c>
    </row>
    <row r="209" spans="1:5" x14ac:dyDescent="0.3">
      <c r="A209" t="s">
        <v>1479</v>
      </c>
      <c r="B209" t="s">
        <v>1481</v>
      </c>
      <c r="C209" t="s">
        <v>376</v>
      </c>
      <c r="D209" t="s">
        <v>376</v>
      </c>
      <c r="E209" t="s">
        <v>411</v>
      </c>
    </row>
    <row r="210" spans="1:5" x14ac:dyDescent="0.3">
      <c r="A210" t="s">
        <v>1480</v>
      </c>
      <c r="B210" t="s">
        <v>1482</v>
      </c>
      <c r="C210" t="s">
        <v>376</v>
      </c>
      <c r="D210" t="s">
        <v>376</v>
      </c>
      <c r="E210" t="s">
        <v>411</v>
      </c>
    </row>
    <row r="211" spans="1:5" x14ac:dyDescent="0.3">
      <c r="A211" t="s">
        <v>1483</v>
      </c>
      <c r="B211" t="s">
        <v>1484</v>
      </c>
      <c r="C211" t="s">
        <v>593</v>
      </c>
      <c r="D211" t="s">
        <v>311</v>
      </c>
      <c r="E211" t="s">
        <v>29</v>
      </c>
    </row>
    <row r="212" spans="1:5" x14ac:dyDescent="0.3">
      <c r="A212" t="s">
        <v>1485</v>
      </c>
      <c r="B212" t="s">
        <v>1486</v>
      </c>
      <c r="C212" t="s">
        <v>593</v>
      </c>
      <c r="D212" t="s">
        <v>280</v>
      </c>
      <c r="E212" t="s">
        <v>64</v>
      </c>
    </row>
    <row r="213" spans="1:5" x14ac:dyDescent="0.3">
      <c r="A213" t="s">
        <v>1487</v>
      </c>
      <c r="B213" t="s">
        <v>1488</v>
      </c>
      <c r="C213" t="s">
        <v>593</v>
      </c>
      <c r="D213" t="s">
        <v>311</v>
      </c>
      <c r="E213" t="s">
        <v>29</v>
      </c>
    </row>
    <row r="214" spans="1:5" x14ac:dyDescent="0.3">
      <c r="A214" t="s">
        <v>1489</v>
      </c>
      <c r="B214" t="s">
        <v>1490</v>
      </c>
      <c r="C214" t="s">
        <v>272</v>
      </c>
      <c r="D214" t="s">
        <v>311</v>
      </c>
      <c r="E214" t="s">
        <v>64</v>
      </c>
    </row>
    <row r="215" spans="1:5" x14ac:dyDescent="0.3">
      <c r="A215" t="s">
        <v>1491</v>
      </c>
      <c r="B215" t="s">
        <v>1492</v>
      </c>
      <c r="C215" t="s">
        <v>272</v>
      </c>
      <c r="D215" t="s">
        <v>629</v>
      </c>
      <c r="E215" t="s">
        <v>64</v>
      </c>
    </row>
    <row r="216" spans="1:5" x14ac:dyDescent="0.3">
      <c r="A216" t="s">
        <v>1493</v>
      </c>
      <c r="B216" t="s">
        <v>1494</v>
      </c>
      <c r="C216" t="s">
        <v>272</v>
      </c>
      <c r="D216" t="s">
        <v>280</v>
      </c>
      <c r="E216" t="s">
        <v>64</v>
      </c>
    </row>
    <row r="217" spans="1:5" x14ac:dyDescent="0.3">
      <c r="A217" t="s">
        <v>1495</v>
      </c>
      <c r="B217" t="s">
        <v>1496</v>
      </c>
      <c r="C217" t="s">
        <v>272</v>
      </c>
      <c r="D217" t="s">
        <v>280</v>
      </c>
      <c r="E217" t="s">
        <v>64</v>
      </c>
    </row>
    <row r="218" spans="1:5" x14ac:dyDescent="0.3">
      <c r="A218" t="s">
        <v>1497</v>
      </c>
      <c r="B218" t="s">
        <v>1498</v>
      </c>
      <c r="C218" t="s">
        <v>593</v>
      </c>
      <c r="D218" t="s">
        <v>383</v>
      </c>
      <c r="E218" t="s">
        <v>29</v>
      </c>
    </row>
    <row r="219" spans="1:5" x14ac:dyDescent="0.3">
      <c r="A219" t="s">
        <v>1503</v>
      </c>
      <c r="B219" t="s">
        <v>1504</v>
      </c>
      <c r="C219" t="s">
        <v>593</v>
      </c>
      <c r="D219" t="s">
        <v>383</v>
      </c>
      <c r="E219" t="s">
        <v>29</v>
      </c>
    </row>
    <row r="220" spans="1:5" x14ac:dyDescent="0.3">
      <c r="A220" t="s">
        <v>1507</v>
      </c>
      <c r="B220" t="s">
        <v>1508</v>
      </c>
      <c r="C220" t="s">
        <v>593</v>
      </c>
      <c r="D220" t="s">
        <v>383</v>
      </c>
      <c r="E220" t="s">
        <v>29</v>
      </c>
    </row>
    <row r="221" spans="1:5" x14ac:dyDescent="0.3">
      <c r="A221" t="s">
        <v>1509</v>
      </c>
      <c r="B221" t="s">
        <v>1510</v>
      </c>
      <c r="C221" t="s">
        <v>593</v>
      </c>
      <c r="D221" t="s">
        <v>311</v>
      </c>
      <c r="E221" t="s">
        <v>29</v>
      </c>
    </row>
    <row r="222" spans="1:5" x14ac:dyDescent="0.3">
      <c r="A222" t="s">
        <v>1512</v>
      </c>
      <c r="B222" t="s">
        <v>1513</v>
      </c>
      <c r="C222" t="s">
        <v>593</v>
      </c>
      <c r="D222" t="s">
        <v>390</v>
      </c>
      <c r="E222" t="s">
        <v>29</v>
      </c>
    </row>
    <row r="223" spans="1:5" x14ac:dyDescent="0.3">
      <c r="A223" t="s">
        <v>1514</v>
      </c>
      <c r="B223" t="s">
        <v>1515</v>
      </c>
      <c r="C223" t="s">
        <v>593</v>
      </c>
      <c r="D223" t="s">
        <v>390</v>
      </c>
      <c r="E223" t="s">
        <v>411</v>
      </c>
    </row>
    <row r="224" spans="1:5" x14ac:dyDescent="0.3">
      <c r="A224" t="s">
        <v>1518</v>
      </c>
      <c r="B224" t="s">
        <v>1519</v>
      </c>
      <c r="C224" t="s">
        <v>593</v>
      </c>
      <c r="D224" t="s">
        <v>311</v>
      </c>
      <c r="E224" t="s">
        <v>64</v>
      </c>
    </row>
    <row r="225" spans="1:6" x14ac:dyDescent="0.3">
      <c r="A225" t="s">
        <v>1555</v>
      </c>
      <c r="B225" t="s">
        <v>1556</v>
      </c>
      <c r="C225" t="s">
        <v>593</v>
      </c>
      <c r="D225" t="s">
        <v>311</v>
      </c>
      <c r="E225" t="s">
        <v>64</v>
      </c>
    </row>
    <row r="226" spans="1:6" x14ac:dyDescent="0.3">
      <c r="A226" t="s">
        <v>1557</v>
      </c>
      <c r="B226" t="s">
        <v>1558</v>
      </c>
      <c r="C226" t="s">
        <v>809</v>
      </c>
      <c r="D226" t="s">
        <v>383</v>
      </c>
      <c r="E226" t="s">
        <v>411</v>
      </c>
      <c r="F226" t="s">
        <v>1559</v>
      </c>
    </row>
  </sheetData>
  <dataValidations count="4">
    <dataValidation type="list" allowBlank="1" showInputMessage="1" showErrorMessage="1" sqref="G2:G226" xr:uid="{8DEFF8F9-9FDC-4CDF-A9F2-D08A62EEDEB6}">
      <formula1>LoadSourceOptions</formula1>
    </dataValidation>
    <dataValidation type="list" allowBlank="1" showInputMessage="1" showErrorMessage="1" sqref="H2:H226" xr:uid="{18B033DC-C2B4-43EE-9FF8-CC4DE6D7E67E}">
      <formula1>MovementIDs</formula1>
    </dataValidation>
    <dataValidation type="decimal" allowBlank="1" showInputMessage="1" showErrorMessage="1" prompt="Enter 0.70 for 70% (or 70). Leave blank to use per-row % or fixed Load." sqref="I2:I226" xr:uid="{BDDFE151-552C-4301-BCCB-8A9DB5EA6A19}">
      <formula1>0</formula1>
      <formula2>150</formula2>
    </dataValidation>
    <dataValidation type="decimal" allowBlank="1" showInputMessage="1" showErrorMessage="1" prompt="e.g., 2.5. Leave blank to use app default." sqref="J2:J226" xr:uid="{6E60EDB5-EFA3-4F1B-A42D-C2C38DE597C9}">
      <formula1>0</formula1>
      <formula2>100</formula2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activeCell="F2" sqref="F2"/>
    </sheetView>
  </sheetViews>
  <sheetFormatPr defaultRowHeight="14.4" x14ac:dyDescent="0.3"/>
  <cols>
    <col min="2" max="2" width="13.6640625" customWidth="1"/>
  </cols>
  <sheetData>
    <row r="1" spans="1:6" x14ac:dyDescent="0.3">
      <c r="A1" t="s">
        <v>217</v>
      </c>
      <c r="B1" t="s">
        <v>253</v>
      </c>
      <c r="C1" t="s">
        <v>810</v>
      </c>
      <c r="D1" t="s">
        <v>811</v>
      </c>
      <c r="E1" t="s">
        <v>812</v>
      </c>
      <c r="F1" t="s">
        <v>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zoomScaleNormal="100" workbookViewId="0">
      <selection activeCell="E17" sqref="E17"/>
    </sheetView>
  </sheetViews>
  <sheetFormatPr defaultRowHeight="14.4" x14ac:dyDescent="0.3"/>
  <cols>
    <col min="1" max="1" width="46.88671875" bestFit="1" customWidth="1"/>
    <col min="2" max="2" width="22.44140625" customWidth="1"/>
    <col min="3" max="3" width="32" customWidth="1"/>
    <col min="4" max="4" width="9.44140625" bestFit="1" customWidth="1"/>
    <col min="5" max="5" width="16.109375" style="2" customWidth="1"/>
    <col min="6" max="6" width="19" style="2" customWidth="1"/>
    <col min="7" max="7" width="58.33203125" bestFit="1" customWidth="1"/>
  </cols>
  <sheetData>
    <row r="1" spans="1:7" x14ac:dyDescent="0.3">
      <c r="A1" t="s">
        <v>813</v>
      </c>
      <c r="B1" t="s">
        <v>814</v>
      </c>
      <c r="C1" t="s">
        <v>21</v>
      </c>
      <c r="D1" t="s">
        <v>0</v>
      </c>
      <c r="E1" s="2" t="s">
        <v>815</v>
      </c>
      <c r="F1" s="2" t="s">
        <v>816</v>
      </c>
      <c r="G1" t="s">
        <v>9</v>
      </c>
    </row>
    <row r="2" spans="1:7" x14ac:dyDescent="0.3">
      <c r="A2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PRG_HSPU_6_WEEK_DEVELOPMENTAL_20251216_001</v>
      </c>
      <c r="B2" t="s">
        <v>817</v>
      </c>
      <c r="C2" t="s">
        <v>818</v>
      </c>
      <c r="D2" t="s">
        <v>4</v>
      </c>
      <c r="E2" s="2">
        <v>46007</v>
      </c>
      <c r="F2" s="2">
        <v>46061</v>
      </c>
      <c r="G2" t="s">
        <v>819</v>
      </c>
    </row>
    <row r="3" spans="1:7" x14ac:dyDescent="0.3">
      <c r="A3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PRG_BEG_EVERETT_A_20250810_001</v>
      </c>
      <c r="B3" t="s">
        <v>820</v>
      </c>
      <c r="C3" t="s">
        <v>821</v>
      </c>
      <c r="D3" t="s">
        <v>4</v>
      </c>
      <c r="E3" s="2">
        <v>45879</v>
      </c>
      <c r="F3" s="2">
        <v>45957</v>
      </c>
      <c r="G3" t="s">
        <v>822</v>
      </c>
    </row>
    <row r="4" spans="1:7" x14ac:dyDescent="0.3">
      <c r="A4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PRG_BEG_EVERETT_B_20251027_001</v>
      </c>
      <c r="B4" t="s">
        <v>823</v>
      </c>
      <c r="C4" t="s">
        <v>824</v>
      </c>
      <c r="D4" t="s">
        <v>4</v>
      </c>
      <c r="E4" s="2">
        <v>45957</v>
      </c>
      <c r="F4" s="2">
        <v>46006</v>
      </c>
      <c r="G4" t="s">
        <v>825</v>
      </c>
    </row>
    <row r="5" spans="1:7" x14ac:dyDescent="0.3">
      <c r="A5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PRG_LEV1_EVERETT_A_20250810_001</v>
      </c>
      <c r="B5" t="s">
        <v>826</v>
      </c>
      <c r="C5" t="s">
        <v>827</v>
      </c>
      <c r="D5" t="s">
        <v>6</v>
      </c>
      <c r="E5" s="2">
        <v>45879</v>
      </c>
      <c r="G5" t="s">
        <v>828</v>
      </c>
    </row>
    <row r="6" spans="1:7" x14ac:dyDescent="0.3">
      <c r="A6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PRG_10_WEEK_SQUAT_20250810_001</v>
      </c>
      <c r="B6" t="s">
        <v>829</v>
      </c>
      <c r="C6" t="s">
        <v>830</v>
      </c>
      <c r="D6" t="s">
        <v>4</v>
      </c>
      <c r="E6" s="2">
        <v>45879</v>
      </c>
      <c r="F6" s="2">
        <v>46007</v>
      </c>
      <c r="G6" t="s">
        <v>831</v>
      </c>
    </row>
    <row r="7" spans="1:7" x14ac:dyDescent="0.3">
      <c r="A7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PRG_BMU_6_WEEK_DEVELOPMENT_20251215_001</v>
      </c>
      <c r="B7" t="s">
        <v>832</v>
      </c>
      <c r="C7" t="s">
        <v>833</v>
      </c>
      <c r="D7" t="s">
        <v>4</v>
      </c>
      <c r="E7" s="2">
        <v>46006</v>
      </c>
      <c r="F7" s="2">
        <v>46061</v>
      </c>
      <c r="G7" t="s">
        <v>834</v>
      </c>
    </row>
    <row r="8" spans="1:7" x14ac:dyDescent="0.3">
      <c r="A8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PRG_EVERETT_WG_A_20260401_001</v>
      </c>
      <c r="B8" t="s">
        <v>835</v>
      </c>
      <c r="C8" t="s">
        <v>836</v>
      </c>
      <c r="D8" t="s">
        <v>6</v>
      </c>
      <c r="E8" s="2">
        <v>46113</v>
      </c>
      <c r="G8" t="s">
        <v>837</v>
      </c>
    </row>
    <row r="9" spans="1:7" x14ac:dyDescent="0.3">
      <c r="A9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PRG_EVERETT_WG_B_20260401_001</v>
      </c>
      <c r="B9" t="s">
        <v>838</v>
      </c>
      <c r="C9" t="s">
        <v>839</v>
      </c>
      <c r="D9" t="s">
        <v>6</v>
      </c>
      <c r="E9" s="2">
        <v>46113</v>
      </c>
      <c r="G9" t="s">
        <v>840</v>
      </c>
    </row>
    <row r="10" spans="1:7" x14ac:dyDescent="0.3">
      <c r="A10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PRG_5_WEEK_F_SQUAT_20260401_001</v>
      </c>
      <c r="B10" t="s">
        <v>841</v>
      </c>
      <c r="C10" t="s">
        <v>842</v>
      </c>
      <c r="D10" t="s">
        <v>6</v>
      </c>
      <c r="E10" s="2">
        <v>46113</v>
      </c>
      <c r="G10" t="s">
        <v>843</v>
      </c>
    </row>
    <row r="11" spans="1:7" x14ac:dyDescent="0.3">
      <c r="A11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PRG_10_WEEK_SQUAT_2_20260112_001</v>
      </c>
      <c r="B11" t="s">
        <v>1402</v>
      </c>
      <c r="C11" t="s">
        <v>1403</v>
      </c>
      <c r="D11" t="s">
        <v>2</v>
      </c>
      <c r="E11" s="2">
        <v>46034</v>
      </c>
      <c r="G11" t="s">
        <v>1404</v>
      </c>
    </row>
    <row r="12" spans="1:7" x14ac:dyDescent="0.3">
      <c r="A12" t="str">
        <f>IF(OR(Programs[[#This Row],[StartDate]]="",NOT(ISNUMBER(Programs[[#This Row],[StartDate]]))),"",
"PRG_" &amp;
UPPER(
SUBSTITUTE(
SUBSTITUTE(
SUBSTITUTE(
SUBSTITUTE(
SUBSTITUTE(
SUBSTITUTE(Programs[[#This Row],[Name]]," ","_"),"&amp;","AND"),"/","_"),"-","_"),"(",""),")","")
) &amp; "_" &amp;
TEXT(Programs[[#This Row],[StartDate]],"yyyymmdd") &amp; "_" &amp;
TEXT(COUNTIFS(Programs[Name],Programs[[#This Row],[Name]],Programs[StartDate],Programs[[#This Row],[StartDate]]),"000")
)</f>
        <v>PRG_PHASE_ONE_FOR_2026_20260209_001</v>
      </c>
      <c r="B12" t="s">
        <v>1499</v>
      </c>
      <c r="C12" t="s">
        <v>1500</v>
      </c>
      <c r="D12" t="s">
        <v>2</v>
      </c>
      <c r="E12" s="2">
        <v>46062</v>
      </c>
    </row>
  </sheetData>
  <dataValidations count="1">
    <dataValidation type="list" allowBlank="1" showInputMessage="1" showErrorMessage="1" sqref="D2:D12" xr:uid="{37B3A932-37FB-4715-A58C-EA616EE086E8}">
      <formula1>lstStatus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0"/>
  <sheetViews>
    <sheetView workbookViewId="0">
      <pane ySplit="1" topLeftCell="A275" activePane="bottomLeft" state="frozen"/>
      <selection pane="bottomLeft" activeCell="B317" sqref="B317"/>
    </sheetView>
  </sheetViews>
  <sheetFormatPr defaultRowHeight="14.4" x14ac:dyDescent="0.3"/>
  <cols>
    <col min="1" max="1" width="46.88671875" bestFit="1" customWidth="1"/>
    <col min="2" max="4" width="16.88671875" style="5" customWidth="1"/>
    <col min="5" max="5" width="20.6640625" style="5" bestFit="1" customWidth="1"/>
    <col min="6" max="6" width="37.33203125" style="5" customWidth="1"/>
    <col min="7" max="7" width="10.44140625" style="2" bestFit="1" customWidth="1"/>
    <col min="8" max="8" width="32" style="5" bestFit="1" customWidth="1"/>
    <col min="9" max="9" width="47.109375" bestFit="1" customWidth="1"/>
  </cols>
  <sheetData>
    <row r="1" spans="1:9" x14ac:dyDescent="0.3">
      <c r="A1" s="1" t="s">
        <v>813</v>
      </c>
      <c r="B1" s="1" t="s">
        <v>814</v>
      </c>
      <c r="C1" s="14" t="s">
        <v>844</v>
      </c>
      <c r="D1" s="14" t="s">
        <v>845</v>
      </c>
      <c r="E1" s="14" t="s">
        <v>846</v>
      </c>
      <c r="F1" s="14" t="s">
        <v>847</v>
      </c>
      <c r="G1" s="3" t="s">
        <v>217</v>
      </c>
      <c r="H1" s="1" t="s">
        <v>848</v>
      </c>
      <c r="I1" s="1" t="s">
        <v>9</v>
      </c>
    </row>
    <row r="2" spans="1:9" x14ac:dyDescent="0.3">
      <c r="A2" t="s">
        <v>1398</v>
      </c>
      <c r="B2" s="5" t="str">
        <f>_xlfn.XLOOKUP(Sessions[[#This Row],[ProgramID]], Programs[ProgramID], Programs[ProgramCode], "")</f>
        <v>HSPU-6W</v>
      </c>
      <c r="C2" s="5" t="s">
        <v>849</v>
      </c>
      <c r="D2" s="5">
        <f t="array" ref="D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" s="5" t="str">
        <f>Sessions[[#This Row],[ProgramCode]] &amp; "-" &amp; Sessions[[#This Row],[SessionCode]] &amp; "-" &amp; TEXT(Sessions[[#This Row],[SessionOrder]],"00")</f>
        <v>HSPU-6W-A-01</v>
      </c>
      <c r="F2" s="5" t="str">
        <f>Sessions[[#This Row],[ProgramCode]] &amp; " – Session " &amp; Sessions[[#This Row],[SessionCode]] &amp; " (Week " &amp; Sessions[[#This Row],[SessionOrder]] &amp; ")"</f>
        <v>HSPU-6W – Session A (Week 1)</v>
      </c>
      <c r="G2" s="2">
        <v>45999</v>
      </c>
      <c r="H2" s="5" t="s">
        <v>850</v>
      </c>
      <c r="I2" t="s">
        <v>851</v>
      </c>
    </row>
    <row r="3" spans="1:9" x14ac:dyDescent="0.3">
      <c r="A3" t="s">
        <v>1398</v>
      </c>
      <c r="B3" s="5" t="str">
        <f>_xlfn.XLOOKUP(Sessions[[#This Row],[ProgramID]], Programs[ProgramID], Programs[ProgramCode], "")</f>
        <v>HSPU-6W</v>
      </c>
      <c r="C3" s="5" t="s">
        <v>852</v>
      </c>
      <c r="D3" s="5">
        <f t="array" ref="D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3" s="5" t="str">
        <f>Sessions[[#This Row],[ProgramCode]] &amp; "-" &amp; Sessions[[#This Row],[SessionCode]] &amp; "-" &amp; TEXT(Sessions[[#This Row],[SessionOrder]],"00")</f>
        <v>HSPU-6W-B-01</v>
      </c>
      <c r="F3" s="5" t="str">
        <f>Sessions[[#This Row],[ProgramCode]] &amp; " – Session " &amp; Sessions[[#This Row],[SessionCode]] &amp; " (Week " &amp; Sessions[[#This Row],[SessionOrder]] &amp; ")"</f>
        <v>HSPU-6W – Session B (Week 1)</v>
      </c>
      <c r="G3" s="2">
        <v>46001</v>
      </c>
      <c r="H3" s="5" t="s">
        <v>853</v>
      </c>
      <c r="I3" t="s">
        <v>854</v>
      </c>
    </row>
    <row r="4" spans="1:9" x14ac:dyDescent="0.3">
      <c r="A4" t="s">
        <v>1398</v>
      </c>
      <c r="B4" s="5" t="str">
        <f>_xlfn.XLOOKUP(Sessions[[#This Row],[ProgramID]], Programs[ProgramID], Programs[ProgramCode], "")</f>
        <v>HSPU-6W</v>
      </c>
      <c r="C4" s="5" t="s">
        <v>855</v>
      </c>
      <c r="D4" s="5">
        <f t="array" ref="D4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4" s="5" t="str">
        <f>Sessions[[#This Row],[ProgramCode]] &amp; "-" &amp; Sessions[[#This Row],[SessionCode]] &amp; "-" &amp; TEXT(Sessions[[#This Row],[SessionOrder]],"00")</f>
        <v>HSPU-6W-C-01</v>
      </c>
      <c r="F4" s="5" t="str">
        <f>Sessions[[#This Row],[ProgramCode]] &amp; " – Session " &amp; Sessions[[#This Row],[SessionCode]] &amp; " (Week " &amp; Sessions[[#This Row],[SessionOrder]] &amp; ")"</f>
        <v>HSPU-6W – Session C (Week 1)</v>
      </c>
      <c r="G4" s="2">
        <v>46003</v>
      </c>
      <c r="H4" s="5" t="s">
        <v>856</v>
      </c>
      <c r="I4" t="s">
        <v>857</v>
      </c>
    </row>
    <row r="5" spans="1:9" x14ac:dyDescent="0.3">
      <c r="A5" t="s">
        <v>1398</v>
      </c>
      <c r="B5" s="5" t="str">
        <f>_xlfn.XLOOKUP(Sessions[[#This Row],[ProgramID]], Programs[ProgramID], Programs[ProgramCode], "")</f>
        <v>HSPU-6W</v>
      </c>
      <c r="C5" s="5" t="s">
        <v>849</v>
      </c>
      <c r="D5" s="5">
        <f t="array" ref="D5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5" s="5" t="str">
        <f>Sessions[[#This Row],[ProgramCode]] &amp; "-" &amp; Sessions[[#This Row],[SessionCode]] &amp; "-" &amp; TEXT(Sessions[[#This Row],[SessionOrder]],"00")</f>
        <v>HSPU-6W-A-02</v>
      </c>
      <c r="F5" s="5" t="str">
        <f>Sessions[[#This Row],[ProgramCode]] &amp; " – Session " &amp; Sessions[[#This Row],[SessionCode]] &amp; " (Week " &amp; Sessions[[#This Row],[SessionOrder]] &amp; ")"</f>
        <v>HSPU-6W – Session A (Week 2)</v>
      </c>
      <c r="G5" s="2">
        <v>46006</v>
      </c>
      <c r="H5" s="5" t="s">
        <v>850</v>
      </c>
      <c r="I5" t="s">
        <v>851</v>
      </c>
    </row>
    <row r="6" spans="1:9" x14ac:dyDescent="0.3">
      <c r="A6" t="s">
        <v>1398</v>
      </c>
      <c r="B6" s="5" t="str">
        <f>_xlfn.XLOOKUP(Sessions[[#This Row],[ProgramID]], Programs[ProgramID], Programs[ProgramCode], "")</f>
        <v>HSPU-6W</v>
      </c>
      <c r="C6" s="5" t="s">
        <v>852</v>
      </c>
      <c r="D6" s="5">
        <f t="array" ref="D6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6" s="5" t="str">
        <f>Sessions[[#This Row],[ProgramCode]] &amp; "-" &amp; Sessions[[#This Row],[SessionCode]] &amp; "-" &amp; TEXT(Sessions[[#This Row],[SessionOrder]],"00")</f>
        <v>HSPU-6W-B-02</v>
      </c>
      <c r="F6" s="5" t="str">
        <f>Sessions[[#This Row],[ProgramCode]] &amp; " – Session " &amp; Sessions[[#This Row],[SessionCode]] &amp; " (Week " &amp; Sessions[[#This Row],[SessionOrder]] &amp; ")"</f>
        <v>HSPU-6W – Session B (Week 2)</v>
      </c>
      <c r="G6" s="2">
        <v>46008</v>
      </c>
      <c r="H6" s="5" t="s">
        <v>853</v>
      </c>
      <c r="I6" t="s">
        <v>854</v>
      </c>
    </row>
    <row r="7" spans="1:9" x14ac:dyDescent="0.3">
      <c r="A7" t="s">
        <v>1398</v>
      </c>
      <c r="B7" s="5" t="str">
        <f>_xlfn.XLOOKUP(Sessions[[#This Row],[ProgramID]], Programs[ProgramID], Programs[ProgramCode], "")</f>
        <v>HSPU-6W</v>
      </c>
      <c r="C7" s="5" t="s">
        <v>855</v>
      </c>
      <c r="D7" s="5">
        <f t="array" ref="D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" s="5" t="str">
        <f>Sessions[[#This Row],[ProgramCode]] &amp; "-" &amp; Sessions[[#This Row],[SessionCode]] &amp; "-" &amp; TEXT(Sessions[[#This Row],[SessionOrder]],"00")</f>
        <v>HSPU-6W-C-02</v>
      </c>
      <c r="F7" s="5" t="str">
        <f>Sessions[[#This Row],[ProgramCode]] &amp; " – Session " &amp; Sessions[[#This Row],[SessionCode]] &amp; " (Week " &amp; Sessions[[#This Row],[SessionOrder]] &amp; ")"</f>
        <v>HSPU-6W – Session C (Week 2)</v>
      </c>
      <c r="G7" s="2">
        <v>46010</v>
      </c>
      <c r="H7" s="5" t="s">
        <v>856</v>
      </c>
      <c r="I7" t="s">
        <v>857</v>
      </c>
    </row>
    <row r="8" spans="1:9" x14ac:dyDescent="0.3">
      <c r="A8" t="s">
        <v>1398</v>
      </c>
      <c r="B8" s="5" t="str">
        <f>_xlfn.XLOOKUP(Sessions[[#This Row],[ProgramID]], Programs[ProgramID], Programs[ProgramCode], "")</f>
        <v>HSPU-6W</v>
      </c>
      <c r="C8" s="5" t="s">
        <v>849</v>
      </c>
      <c r="D8" s="5">
        <f t="array" ref="D8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" s="5" t="str">
        <f>Sessions[[#This Row],[ProgramCode]] &amp; "-" &amp; Sessions[[#This Row],[SessionCode]] &amp; "-" &amp; TEXT(Sessions[[#This Row],[SessionOrder]],"00")</f>
        <v>HSPU-6W-A-03</v>
      </c>
      <c r="F8" s="5" t="str">
        <f>Sessions[[#This Row],[ProgramCode]] &amp; " – Session " &amp; Sessions[[#This Row],[SessionCode]] &amp; " (Week " &amp; Sessions[[#This Row],[SessionOrder]] &amp; ")"</f>
        <v>HSPU-6W – Session A (Week 3)</v>
      </c>
      <c r="G8" s="2">
        <v>46013</v>
      </c>
      <c r="H8" s="5" t="s">
        <v>850</v>
      </c>
      <c r="I8" t="s">
        <v>851</v>
      </c>
    </row>
    <row r="9" spans="1:9" x14ac:dyDescent="0.3">
      <c r="A9" t="s">
        <v>1398</v>
      </c>
      <c r="B9" s="5" t="str">
        <f>_xlfn.XLOOKUP(Sessions[[#This Row],[ProgramID]], Programs[ProgramID], Programs[ProgramCode], "")</f>
        <v>HSPU-6W</v>
      </c>
      <c r="C9" s="5" t="s">
        <v>852</v>
      </c>
      <c r="D9" s="5">
        <f t="array" ref="D9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9" s="5" t="str">
        <f>Sessions[[#This Row],[ProgramCode]] &amp; "-" &amp; Sessions[[#This Row],[SessionCode]] &amp; "-" &amp; TEXT(Sessions[[#This Row],[SessionOrder]],"00")</f>
        <v>HSPU-6W-B-03</v>
      </c>
      <c r="F9" s="5" t="str">
        <f>Sessions[[#This Row],[ProgramCode]] &amp; " – Session " &amp; Sessions[[#This Row],[SessionCode]] &amp; " (Week " &amp; Sessions[[#This Row],[SessionOrder]] &amp; ")"</f>
        <v>HSPU-6W – Session B (Week 3)</v>
      </c>
      <c r="G9" s="2">
        <v>46015</v>
      </c>
      <c r="H9" s="5" t="s">
        <v>853</v>
      </c>
      <c r="I9" t="s">
        <v>854</v>
      </c>
    </row>
    <row r="10" spans="1:9" x14ac:dyDescent="0.3">
      <c r="A10" t="s">
        <v>1398</v>
      </c>
      <c r="B10" s="5" t="str">
        <f>_xlfn.XLOOKUP(Sessions[[#This Row],[ProgramID]], Programs[ProgramID], Programs[ProgramCode], "")</f>
        <v>HSPU-6W</v>
      </c>
      <c r="C10" s="5" t="s">
        <v>855</v>
      </c>
      <c r="D10" s="5">
        <f t="array" ref="D10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0" s="5" t="str">
        <f>Sessions[[#This Row],[ProgramCode]] &amp; "-" &amp; Sessions[[#This Row],[SessionCode]] &amp; "-" &amp; TEXT(Sessions[[#This Row],[SessionOrder]],"00")</f>
        <v>HSPU-6W-C-03</v>
      </c>
      <c r="F10" s="5" t="str">
        <f>Sessions[[#This Row],[ProgramCode]] &amp; " – Session " &amp; Sessions[[#This Row],[SessionCode]] &amp; " (Week " &amp; Sessions[[#This Row],[SessionOrder]] &amp; ")"</f>
        <v>HSPU-6W – Session C (Week 3)</v>
      </c>
      <c r="G10" s="2">
        <v>46017</v>
      </c>
      <c r="H10" s="5" t="s">
        <v>856</v>
      </c>
      <c r="I10" t="s">
        <v>857</v>
      </c>
    </row>
    <row r="11" spans="1:9" x14ac:dyDescent="0.3">
      <c r="A11" t="s">
        <v>1398</v>
      </c>
      <c r="B11" s="5" t="str">
        <f>_xlfn.XLOOKUP(Sessions[[#This Row],[ProgramID]], Programs[ProgramID], Programs[ProgramCode], "")</f>
        <v>HSPU-6W</v>
      </c>
      <c r="C11" s="5" t="s">
        <v>849</v>
      </c>
      <c r="D11" s="5">
        <f t="array" ref="D11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1" s="5" t="str">
        <f>Sessions[[#This Row],[ProgramCode]] &amp; "-" &amp; Sessions[[#This Row],[SessionCode]] &amp; "-" &amp; TEXT(Sessions[[#This Row],[SessionOrder]],"00")</f>
        <v>HSPU-6W-A-04</v>
      </c>
      <c r="F11" s="5" t="str">
        <f>Sessions[[#This Row],[ProgramCode]] &amp; " – Session " &amp; Sessions[[#This Row],[SessionCode]] &amp; " (Week " &amp; Sessions[[#This Row],[SessionOrder]] &amp; ")"</f>
        <v>HSPU-6W – Session A (Week 4)</v>
      </c>
      <c r="G11" s="2">
        <v>46020</v>
      </c>
      <c r="H11" s="5" t="s">
        <v>850</v>
      </c>
      <c r="I11" t="s">
        <v>851</v>
      </c>
    </row>
    <row r="12" spans="1:9" x14ac:dyDescent="0.3">
      <c r="A12" t="s">
        <v>1398</v>
      </c>
      <c r="B12" s="5" t="str">
        <f>_xlfn.XLOOKUP(Sessions[[#This Row],[ProgramID]], Programs[ProgramID], Programs[ProgramCode], "")</f>
        <v>HSPU-6W</v>
      </c>
      <c r="C12" s="5" t="s">
        <v>852</v>
      </c>
      <c r="D12" s="5">
        <f t="array" ref="D12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2" s="5" t="str">
        <f>Sessions[[#This Row],[ProgramCode]] &amp; "-" &amp; Sessions[[#This Row],[SessionCode]] &amp; "-" &amp; TEXT(Sessions[[#This Row],[SessionOrder]],"00")</f>
        <v>HSPU-6W-B-04</v>
      </c>
      <c r="F12" s="5" t="str">
        <f>Sessions[[#This Row],[ProgramCode]] &amp; " – Session " &amp; Sessions[[#This Row],[SessionCode]] &amp; " (Week " &amp; Sessions[[#This Row],[SessionOrder]] &amp; ")"</f>
        <v>HSPU-6W – Session B (Week 4)</v>
      </c>
      <c r="G12" s="2">
        <v>46022</v>
      </c>
      <c r="H12" s="5" t="s">
        <v>853</v>
      </c>
      <c r="I12" t="s">
        <v>854</v>
      </c>
    </row>
    <row r="13" spans="1:9" x14ac:dyDescent="0.3">
      <c r="A13" t="s">
        <v>1398</v>
      </c>
      <c r="B13" s="5" t="str">
        <f>_xlfn.XLOOKUP(Sessions[[#This Row],[ProgramID]], Programs[ProgramID], Programs[ProgramCode], "")</f>
        <v>HSPU-6W</v>
      </c>
      <c r="C13" s="5" t="s">
        <v>855</v>
      </c>
      <c r="D13" s="5">
        <f t="array" ref="D13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3" s="5" t="str">
        <f>Sessions[[#This Row],[ProgramCode]] &amp; "-" &amp; Sessions[[#This Row],[SessionCode]] &amp; "-" &amp; TEXT(Sessions[[#This Row],[SessionOrder]],"00")</f>
        <v>HSPU-6W-C-04</v>
      </c>
      <c r="F13" s="5" t="str">
        <f>Sessions[[#This Row],[ProgramCode]] &amp; " – Session " &amp; Sessions[[#This Row],[SessionCode]] &amp; " (Week " &amp; Sessions[[#This Row],[SessionOrder]] &amp; ")"</f>
        <v>HSPU-6W – Session C (Week 4)</v>
      </c>
      <c r="G13" s="2">
        <v>46024</v>
      </c>
      <c r="H13" s="5" t="s">
        <v>856</v>
      </c>
      <c r="I13" t="s">
        <v>857</v>
      </c>
    </row>
    <row r="14" spans="1:9" x14ac:dyDescent="0.3">
      <c r="A14" t="s">
        <v>1398</v>
      </c>
      <c r="B14" s="5" t="str">
        <f>_xlfn.XLOOKUP(Sessions[[#This Row],[ProgramID]], Programs[ProgramID], Programs[ProgramCode], "")</f>
        <v>HSPU-6W</v>
      </c>
      <c r="C14" s="5" t="s">
        <v>849</v>
      </c>
      <c r="D14" s="5">
        <f t="array" ref="D14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4" s="5" t="str">
        <f>Sessions[[#This Row],[ProgramCode]] &amp; "-" &amp; Sessions[[#This Row],[SessionCode]] &amp; "-" &amp; TEXT(Sessions[[#This Row],[SessionOrder]],"00")</f>
        <v>HSPU-6W-A-05</v>
      </c>
      <c r="F14" s="5" t="str">
        <f>Sessions[[#This Row],[ProgramCode]] &amp; " – Session " &amp; Sessions[[#This Row],[SessionCode]] &amp; " (Week " &amp; Sessions[[#This Row],[SessionOrder]] &amp; ")"</f>
        <v>HSPU-6W – Session A (Week 5)</v>
      </c>
      <c r="G14" s="2">
        <v>46027</v>
      </c>
      <c r="H14" s="5" t="s">
        <v>850</v>
      </c>
      <c r="I14" t="s">
        <v>851</v>
      </c>
    </row>
    <row r="15" spans="1:9" x14ac:dyDescent="0.3">
      <c r="A15" t="s">
        <v>1398</v>
      </c>
      <c r="B15" s="5" t="str">
        <f>_xlfn.XLOOKUP(Sessions[[#This Row],[ProgramID]], Programs[ProgramID], Programs[ProgramCode], "")</f>
        <v>HSPU-6W</v>
      </c>
      <c r="C15" s="5" t="s">
        <v>852</v>
      </c>
      <c r="D15" s="5">
        <f t="array" ref="D15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5" s="5" t="str">
        <f>Sessions[[#This Row],[ProgramCode]] &amp; "-" &amp; Sessions[[#This Row],[SessionCode]] &amp; "-" &amp; TEXT(Sessions[[#This Row],[SessionOrder]],"00")</f>
        <v>HSPU-6W-B-05</v>
      </c>
      <c r="F15" s="5" t="str">
        <f>Sessions[[#This Row],[ProgramCode]] &amp; " – Session " &amp; Sessions[[#This Row],[SessionCode]] &amp; " (Week " &amp; Sessions[[#This Row],[SessionOrder]] &amp; ")"</f>
        <v>HSPU-6W – Session B (Week 5)</v>
      </c>
      <c r="G15" s="2">
        <v>46029</v>
      </c>
      <c r="H15" s="5" t="s">
        <v>853</v>
      </c>
      <c r="I15" t="s">
        <v>854</v>
      </c>
    </row>
    <row r="16" spans="1:9" x14ac:dyDescent="0.3">
      <c r="A16" t="s">
        <v>1398</v>
      </c>
      <c r="B16" s="5" t="str">
        <f>_xlfn.XLOOKUP(Sessions[[#This Row],[ProgramID]], Programs[ProgramID], Programs[ProgramCode], "")</f>
        <v>HSPU-6W</v>
      </c>
      <c r="C16" s="5" t="s">
        <v>855</v>
      </c>
      <c r="D16" s="5">
        <f t="array" ref="D16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6" s="5" t="str">
        <f>Sessions[[#This Row],[ProgramCode]] &amp; "-" &amp; Sessions[[#This Row],[SessionCode]] &amp; "-" &amp; TEXT(Sessions[[#This Row],[SessionOrder]],"00")</f>
        <v>HSPU-6W-C-05</v>
      </c>
      <c r="F16" s="5" t="str">
        <f>Sessions[[#This Row],[ProgramCode]] &amp; " – Session " &amp; Sessions[[#This Row],[SessionCode]] &amp; " (Week " &amp; Sessions[[#This Row],[SessionOrder]] &amp; ")"</f>
        <v>HSPU-6W – Session C (Week 5)</v>
      </c>
      <c r="G16" s="2">
        <v>46031</v>
      </c>
      <c r="H16" s="5" t="s">
        <v>856</v>
      </c>
      <c r="I16" t="s">
        <v>857</v>
      </c>
    </row>
    <row r="17" spans="1:9" x14ac:dyDescent="0.3">
      <c r="A17" t="s">
        <v>1398</v>
      </c>
      <c r="B17" s="5" t="str">
        <f>_xlfn.XLOOKUP(Sessions[[#This Row],[ProgramID]], Programs[ProgramID], Programs[ProgramCode], "")</f>
        <v>HSPU-6W</v>
      </c>
      <c r="C17" s="5" t="s">
        <v>849</v>
      </c>
      <c r="D17" s="5">
        <f t="array" ref="D17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7" s="5" t="str">
        <f>Sessions[[#This Row],[ProgramCode]] &amp; "-" &amp; Sessions[[#This Row],[SessionCode]] &amp; "-" &amp; TEXT(Sessions[[#This Row],[SessionOrder]],"00")</f>
        <v>HSPU-6W-A-06</v>
      </c>
      <c r="F17" s="5" t="str">
        <f>Sessions[[#This Row],[ProgramCode]] &amp; " – Session " &amp; Sessions[[#This Row],[SessionCode]] &amp; " (Week " &amp; Sessions[[#This Row],[SessionOrder]] &amp; ")"</f>
        <v>HSPU-6W – Session A (Week 6)</v>
      </c>
      <c r="G17" s="2">
        <v>46034</v>
      </c>
      <c r="H17" s="5" t="s">
        <v>850</v>
      </c>
      <c r="I17" t="s">
        <v>851</v>
      </c>
    </row>
    <row r="18" spans="1:9" x14ac:dyDescent="0.3">
      <c r="A18" t="s">
        <v>1398</v>
      </c>
      <c r="B18" s="5" t="str">
        <f>_xlfn.XLOOKUP(Sessions[[#This Row],[ProgramID]], Programs[ProgramID], Programs[ProgramCode], "")</f>
        <v>HSPU-6W</v>
      </c>
      <c r="C18" s="5" t="s">
        <v>852</v>
      </c>
      <c r="D18" s="5">
        <f t="array" ref="D18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8" s="5" t="str">
        <f>Sessions[[#This Row],[ProgramCode]] &amp; "-" &amp; Sessions[[#This Row],[SessionCode]] &amp; "-" &amp; TEXT(Sessions[[#This Row],[SessionOrder]],"00")</f>
        <v>HSPU-6W-B-06</v>
      </c>
      <c r="F18" s="5" t="str">
        <f>Sessions[[#This Row],[ProgramCode]] &amp; " – Session " &amp; Sessions[[#This Row],[SessionCode]] &amp; " (Week " &amp; Sessions[[#This Row],[SessionOrder]] &amp; ")"</f>
        <v>HSPU-6W – Session B (Week 6)</v>
      </c>
      <c r="G18" s="2">
        <v>46036</v>
      </c>
      <c r="H18" s="5" t="s">
        <v>853</v>
      </c>
      <c r="I18" t="s">
        <v>854</v>
      </c>
    </row>
    <row r="19" spans="1:9" x14ac:dyDescent="0.3">
      <c r="A19" t="s">
        <v>1398</v>
      </c>
      <c r="B19" s="5" t="str">
        <f>_xlfn.XLOOKUP(Sessions[[#This Row],[ProgramID]], Programs[ProgramID], Programs[ProgramCode], "")</f>
        <v>HSPU-6W</v>
      </c>
      <c r="C19" s="5" t="s">
        <v>855</v>
      </c>
      <c r="D19" s="5">
        <f t="array" ref="D19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9" s="5" t="str">
        <f>Sessions[[#This Row],[ProgramCode]] &amp; "-" &amp; Sessions[[#This Row],[SessionCode]] &amp; "-" &amp; TEXT(Sessions[[#This Row],[SessionOrder]],"00")</f>
        <v>HSPU-6W-C-06</v>
      </c>
      <c r="F19" s="5" t="str">
        <f>Sessions[[#This Row],[ProgramCode]] &amp; " – Session " &amp; Sessions[[#This Row],[SessionCode]] &amp; " (Week " &amp; Sessions[[#This Row],[SessionOrder]] &amp; ")"</f>
        <v>HSPU-6W – Session C (Week 6)</v>
      </c>
      <c r="G19" s="2">
        <v>46038</v>
      </c>
      <c r="H19" s="5" t="s">
        <v>856</v>
      </c>
      <c r="I19" t="s">
        <v>857</v>
      </c>
    </row>
    <row r="20" spans="1:9" x14ac:dyDescent="0.3">
      <c r="A20" t="s">
        <v>858</v>
      </c>
      <c r="B20" s="5" t="str">
        <f>_xlfn.XLOOKUP(Sessions[[#This Row],[ProgramID]], Programs[ProgramID], Programs[ProgramCode], "")</f>
        <v>OLY-BEG-A</v>
      </c>
      <c r="C20" s="5" t="s">
        <v>849</v>
      </c>
      <c r="D20" s="5">
        <f t="array" ref="D20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0" s="5" t="str">
        <f>Sessions[[#This Row],[ProgramCode]] &amp; "-" &amp; Sessions[[#This Row],[SessionCode]] &amp; "-" &amp; TEXT(Sessions[[#This Row],[SessionOrder]],"00")</f>
        <v>OLY-BEG-A-A-01</v>
      </c>
      <c r="F20" s="5" t="str">
        <f>Sessions[[#This Row],[ProgramCode]] &amp; " – Session " &amp; Sessions[[#This Row],[SessionCode]] &amp; " (Week " &amp; Sessions[[#This Row],[SessionOrder]] &amp; ")"</f>
        <v>OLY-BEG-A – Session A (Week 1)</v>
      </c>
      <c r="G20" s="2">
        <v>45903</v>
      </c>
      <c r="H20" s="5" t="s">
        <v>271</v>
      </c>
      <c r="I20" t="s">
        <v>859</v>
      </c>
    </row>
    <row r="21" spans="1:9" x14ac:dyDescent="0.3">
      <c r="A21" t="s">
        <v>858</v>
      </c>
      <c r="B21" s="5" t="str">
        <f>_xlfn.XLOOKUP(Sessions[[#This Row],[ProgramID]], Programs[ProgramID], Programs[ProgramCode], "")</f>
        <v>OLY-BEG-A</v>
      </c>
      <c r="C21" s="5" t="s">
        <v>852</v>
      </c>
      <c r="D21" s="5">
        <f t="array" ref="D21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1" s="5" t="str">
        <f>Sessions[[#This Row],[ProgramCode]] &amp; "-" &amp; Sessions[[#This Row],[SessionCode]] &amp; "-" &amp; TEXT(Sessions[[#This Row],[SessionOrder]],"00")</f>
        <v>OLY-BEG-A-B-01</v>
      </c>
      <c r="F21" s="5" t="str">
        <f>Sessions[[#This Row],[ProgramCode]] &amp; " – Session " &amp; Sessions[[#This Row],[SessionCode]] &amp; " (Week " &amp; Sessions[[#This Row],[SessionOrder]] &amp; ")"</f>
        <v>OLY-BEG-A – Session B (Week 1)</v>
      </c>
      <c r="G21" s="2">
        <v>45904</v>
      </c>
      <c r="H21" s="5" t="s">
        <v>163</v>
      </c>
      <c r="I21" t="s">
        <v>860</v>
      </c>
    </row>
    <row r="22" spans="1:9" x14ac:dyDescent="0.3">
      <c r="A22" t="s">
        <v>858</v>
      </c>
      <c r="B22" s="5" t="str">
        <f>_xlfn.XLOOKUP(Sessions[[#This Row],[ProgramID]], Programs[ProgramID], Programs[ProgramCode], "")</f>
        <v>OLY-BEG-A</v>
      </c>
      <c r="C22" s="5" t="s">
        <v>855</v>
      </c>
      <c r="D22" s="5">
        <f t="array" ref="D2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" s="5" t="str">
        <f>Sessions[[#This Row],[ProgramCode]] &amp; "-" &amp; Sessions[[#This Row],[SessionCode]] &amp; "-" &amp; TEXT(Sessions[[#This Row],[SessionOrder]],"00")</f>
        <v>OLY-BEG-A-C-01</v>
      </c>
      <c r="F22" s="5" t="str">
        <f>Sessions[[#This Row],[ProgramCode]] &amp; " – Session " &amp; Sessions[[#This Row],[SessionCode]] &amp; " (Week " &amp; Sessions[[#This Row],[SessionOrder]] &amp; ")"</f>
        <v>OLY-BEG-A – Session C (Week 1)</v>
      </c>
      <c r="G22" s="2">
        <v>45905</v>
      </c>
      <c r="H22" s="5" t="s">
        <v>861</v>
      </c>
      <c r="I22" t="s">
        <v>862</v>
      </c>
    </row>
    <row r="23" spans="1:9" x14ac:dyDescent="0.3">
      <c r="A23" t="s">
        <v>858</v>
      </c>
      <c r="B23" s="5" t="str">
        <f>_xlfn.XLOOKUP(Sessions[[#This Row],[ProgramID]], Programs[ProgramID], Programs[ProgramCode], "")</f>
        <v>OLY-BEG-A</v>
      </c>
      <c r="C23" s="5" t="s">
        <v>863</v>
      </c>
      <c r="D23" s="5">
        <f t="array" ref="D2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3" s="5" t="str">
        <f>Sessions[[#This Row],[ProgramCode]] &amp; "-" &amp; Sessions[[#This Row],[SessionCode]] &amp; "-" &amp; TEXT(Sessions[[#This Row],[SessionOrder]],"00")</f>
        <v>OLY-BEG-A-D-01</v>
      </c>
      <c r="F23" s="5" t="str">
        <f>Sessions[[#This Row],[ProgramCode]] &amp; " – Session " &amp; Sessions[[#This Row],[SessionCode]] &amp; " (Week " &amp; Sessions[[#This Row],[SessionOrder]] &amp; ")"</f>
        <v>OLY-BEG-A – Session D (Week 1)</v>
      </c>
      <c r="G23" s="2">
        <v>45906</v>
      </c>
      <c r="H23" s="5" t="s">
        <v>165</v>
      </c>
      <c r="I23" t="s">
        <v>859</v>
      </c>
    </row>
    <row r="24" spans="1:9" x14ac:dyDescent="0.3">
      <c r="A24" t="s">
        <v>858</v>
      </c>
      <c r="B24" s="5" t="str">
        <f>_xlfn.XLOOKUP(Sessions[[#This Row],[ProgramID]], Programs[ProgramID], Programs[ProgramCode], "")</f>
        <v>OLY-BEG-A</v>
      </c>
      <c r="C24" s="5" t="s">
        <v>849</v>
      </c>
      <c r="D24" s="5">
        <f t="array" ref="D24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4" s="5" t="str">
        <f>Sessions[[#This Row],[ProgramCode]] &amp; "-" &amp; Sessions[[#This Row],[SessionCode]] &amp; "-" &amp; TEXT(Sessions[[#This Row],[SessionOrder]],"00")</f>
        <v>OLY-BEG-A-A-02</v>
      </c>
      <c r="F24" s="5" t="str">
        <f>Sessions[[#This Row],[ProgramCode]] &amp; " – Session " &amp; Sessions[[#This Row],[SessionCode]] &amp; " (Week " &amp; Sessions[[#This Row],[SessionOrder]] &amp; ")"</f>
        <v>OLY-BEG-A – Session A (Week 2)</v>
      </c>
      <c r="G24" s="2">
        <v>45907</v>
      </c>
      <c r="H24" s="5" t="s">
        <v>271</v>
      </c>
      <c r="I24" t="s">
        <v>862</v>
      </c>
    </row>
    <row r="25" spans="1:9" x14ac:dyDescent="0.3">
      <c r="A25" t="s">
        <v>858</v>
      </c>
      <c r="B25" s="5" t="str">
        <f>_xlfn.XLOOKUP(Sessions[[#This Row],[ProgramID]], Programs[ProgramID], Programs[ProgramCode], "")</f>
        <v>OLY-BEG-A</v>
      </c>
      <c r="C25" s="5" t="s">
        <v>852</v>
      </c>
      <c r="D25" s="5">
        <f t="array" ref="D25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5" s="5" t="str">
        <f>Sessions[[#This Row],[ProgramCode]] &amp; "-" &amp; Sessions[[#This Row],[SessionCode]] &amp; "-" &amp; TEXT(Sessions[[#This Row],[SessionOrder]],"00")</f>
        <v>OLY-BEG-A-B-02</v>
      </c>
      <c r="F25" s="5" t="str">
        <f>Sessions[[#This Row],[ProgramCode]] &amp; " – Session " &amp; Sessions[[#This Row],[SessionCode]] &amp; " (Week " &amp; Sessions[[#This Row],[SessionOrder]] &amp; ")"</f>
        <v>OLY-BEG-A – Session B (Week 2)</v>
      </c>
      <c r="G25" s="2">
        <v>45908</v>
      </c>
      <c r="H25" s="5" t="s">
        <v>163</v>
      </c>
      <c r="I25" t="s">
        <v>860</v>
      </c>
    </row>
    <row r="26" spans="1:9" x14ac:dyDescent="0.3">
      <c r="A26" t="s">
        <v>858</v>
      </c>
      <c r="B26" s="5" t="str">
        <f>_xlfn.XLOOKUP(Sessions[[#This Row],[ProgramID]], Programs[ProgramID], Programs[ProgramCode], "")</f>
        <v>OLY-BEG-A</v>
      </c>
      <c r="C26" s="5" t="s">
        <v>855</v>
      </c>
      <c r="D26" s="5">
        <f t="array" ref="D26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6" s="5" t="str">
        <f>Sessions[[#This Row],[ProgramCode]] &amp; "-" &amp; Sessions[[#This Row],[SessionCode]] &amp; "-" &amp; TEXT(Sessions[[#This Row],[SessionOrder]],"00")</f>
        <v>OLY-BEG-A-C-02</v>
      </c>
      <c r="F26" s="5" t="str">
        <f>Sessions[[#This Row],[ProgramCode]] &amp; " – Session " &amp; Sessions[[#This Row],[SessionCode]] &amp; " (Week " &amp; Sessions[[#This Row],[SessionOrder]] &amp; ")"</f>
        <v>OLY-BEG-A – Session C (Week 2)</v>
      </c>
      <c r="G26" s="2">
        <v>45909</v>
      </c>
      <c r="H26" s="5" t="s">
        <v>861</v>
      </c>
      <c r="I26" t="s">
        <v>862</v>
      </c>
    </row>
    <row r="27" spans="1:9" x14ac:dyDescent="0.3">
      <c r="A27" t="s">
        <v>858</v>
      </c>
      <c r="B27" s="5" t="str">
        <f>_xlfn.XLOOKUP(Sessions[[#This Row],[ProgramID]], Programs[ProgramID], Programs[ProgramCode], "")</f>
        <v>OLY-BEG-A</v>
      </c>
      <c r="C27" s="5" t="s">
        <v>863</v>
      </c>
      <c r="D27" s="5">
        <f t="array" ref="D2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7" s="5" t="str">
        <f>Sessions[[#This Row],[ProgramCode]] &amp; "-" &amp; Sessions[[#This Row],[SessionCode]] &amp; "-" &amp; TEXT(Sessions[[#This Row],[SessionOrder]],"00")</f>
        <v>OLY-BEG-A-D-02</v>
      </c>
      <c r="F27" s="5" t="str">
        <f>Sessions[[#This Row],[ProgramCode]] &amp; " – Session " &amp; Sessions[[#This Row],[SessionCode]] &amp; " (Week " &amp; Sessions[[#This Row],[SessionOrder]] &amp; ")"</f>
        <v>OLY-BEG-A – Session D (Week 2)</v>
      </c>
      <c r="G27" s="2">
        <v>45910</v>
      </c>
      <c r="H27" s="5" t="s">
        <v>165</v>
      </c>
      <c r="I27" t="s">
        <v>859</v>
      </c>
    </row>
    <row r="28" spans="1:9" x14ac:dyDescent="0.3">
      <c r="A28" t="s">
        <v>858</v>
      </c>
      <c r="B28" s="5" t="str">
        <f>_xlfn.XLOOKUP(Sessions[[#This Row],[ProgramID]], Programs[ProgramID], Programs[ProgramCode], "")</f>
        <v>OLY-BEG-A</v>
      </c>
      <c r="C28" s="5" t="s">
        <v>849</v>
      </c>
      <c r="D28" s="5">
        <f t="array" ref="D28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8" s="5" t="str">
        <f>Sessions[[#This Row],[ProgramCode]] &amp; "-" &amp; Sessions[[#This Row],[SessionCode]] &amp; "-" &amp; TEXT(Sessions[[#This Row],[SessionOrder]],"00")</f>
        <v>OLY-BEG-A-A-03</v>
      </c>
      <c r="F28" s="5" t="str">
        <f>Sessions[[#This Row],[ProgramCode]] &amp; " – Session " &amp; Sessions[[#This Row],[SessionCode]] &amp; " (Week " &amp; Sessions[[#This Row],[SessionOrder]] &amp; ")"</f>
        <v>OLY-BEG-A – Session A (Week 3)</v>
      </c>
      <c r="G28" s="2">
        <v>45911</v>
      </c>
      <c r="H28" s="5" t="s">
        <v>271</v>
      </c>
      <c r="I28" t="s">
        <v>859</v>
      </c>
    </row>
    <row r="29" spans="1:9" x14ac:dyDescent="0.3">
      <c r="A29" t="s">
        <v>858</v>
      </c>
      <c r="B29" s="5" t="str">
        <f>_xlfn.XLOOKUP(Sessions[[#This Row],[ProgramID]], Programs[ProgramID], Programs[ProgramCode], "")</f>
        <v>OLY-BEG-A</v>
      </c>
      <c r="C29" s="5" t="s">
        <v>852</v>
      </c>
      <c r="D29" s="5">
        <f t="array" ref="D29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9" s="5" t="str">
        <f>Sessions[[#This Row],[ProgramCode]] &amp; "-" &amp; Sessions[[#This Row],[SessionCode]] &amp; "-" &amp; TEXT(Sessions[[#This Row],[SessionOrder]],"00")</f>
        <v>OLY-BEG-A-B-03</v>
      </c>
      <c r="F29" s="5" t="str">
        <f>Sessions[[#This Row],[ProgramCode]] &amp; " – Session " &amp; Sessions[[#This Row],[SessionCode]] &amp; " (Week " &amp; Sessions[[#This Row],[SessionOrder]] &amp; ")"</f>
        <v>OLY-BEG-A – Session B (Week 3)</v>
      </c>
      <c r="G29" s="2">
        <v>45912</v>
      </c>
      <c r="H29" s="5" t="s">
        <v>163</v>
      </c>
      <c r="I29" t="s">
        <v>860</v>
      </c>
    </row>
    <row r="30" spans="1:9" x14ac:dyDescent="0.3">
      <c r="A30" t="s">
        <v>858</v>
      </c>
      <c r="B30" s="5" t="str">
        <f>_xlfn.XLOOKUP(Sessions[[#This Row],[ProgramID]], Programs[ProgramID], Programs[ProgramCode], "")</f>
        <v>OLY-BEG-A</v>
      </c>
      <c r="C30" s="5" t="s">
        <v>855</v>
      </c>
      <c r="D30" s="5">
        <f t="array" ref="D30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30" s="5" t="str">
        <f>Sessions[[#This Row],[ProgramCode]] &amp; "-" &amp; Sessions[[#This Row],[SessionCode]] &amp; "-" &amp; TEXT(Sessions[[#This Row],[SessionOrder]],"00")</f>
        <v>OLY-BEG-A-C-03</v>
      </c>
      <c r="F30" s="5" t="str">
        <f>Sessions[[#This Row],[ProgramCode]] &amp; " – Session " &amp; Sessions[[#This Row],[SessionCode]] &amp; " (Week " &amp; Sessions[[#This Row],[SessionOrder]] &amp; ")"</f>
        <v>OLY-BEG-A – Session C (Week 3)</v>
      </c>
      <c r="G30" s="2">
        <v>45913</v>
      </c>
      <c r="H30" s="5" t="s">
        <v>861</v>
      </c>
      <c r="I30" t="s">
        <v>862</v>
      </c>
    </row>
    <row r="31" spans="1:9" x14ac:dyDescent="0.3">
      <c r="A31" t="s">
        <v>858</v>
      </c>
      <c r="B31" s="5" t="str">
        <f>_xlfn.XLOOKUP(Sessions[[#This Row],[ProgramID]], Programs[ProgramID], Programs[ProgramCode], "")</f>
        <v>OLY-BEG-A</v>
      </c>
      <c r="C31" s="5" t="s">
        <v>863</v>
      </c>
      <c r="D31" s="5">
        <f t="array" ref="D31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31" s="5" t="str">
        <f>Sessions[[#This Row],[ProgramCode]] &amp; "-" &amp; Sessions[[#This Row],[SessionCode]] &amp; "-" &amp; TEXT(Sessions[[#This Row],[SessionOrder]],"00")</f>
        <v>OLY-BEG-A-D-03</v>
      </c>
      <c r="F31" s="5" t="str">
        <f>Sessions[[#This Row],[ProgramCode]] &amp; " – Session " &amp; Sessions[[#This Row],[SessionCode]] &amp; " (Week " &amp; Sessions[[#This Row],[SessionOrder]] &amp; ")"</f>
        <v>OLY-BEG-A – Session D (Week 3)</v>
      </c>
      <c r="G31" s="2">
        <v>45914</v>
      </c>
      <c r="H31" s="5" t="s">
        <v>165</v>
      </c>
      <c r="I31" t="s">
        <v>859</v>
      </c>
    </row>
    <row r="32" spans="1:9" x14ac:dyDescent="0.3">
      <c r="A32" t="s">
        <v>858</v>
      </c>
      <c r="B32" s="5" t="str">
        <f>_xlfn.XLOOKUP(Sessions[[#This Row],[ProgramID]], Programs[ProgramID], Programs[ProgramCode], "")</f>
        <v>OLY-BEG-A</v>
      </c>
      <c r="C32" s="5" t="s">
        <v>849</v>
      </c>
      <c r="D32" s="5">
        <f t="array" ref="D32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32" s="5" t="str">
        <f>Sessions[[#This Row],[ProgramCode]] &amp; "-" &amp; Sessions[[#This Row],[SessionCode]] &amp; "-" &amp; TEXT(Sessions[[#This Row],[SessionOrder]],"00")</f>
        <v>OLY-BEG-A-A-04</v>
      </c>
      <c r="F32" s="5" t="str">
        <f>Sessions[[#This Row],[ProgramCode]] &amp; " – Session " &amp; Sessions[[#This Row],[SessionCode]] &amp; " (Week " &amp; Sessions[[#This Row],[SessionOrder]] &amp; ")"</f>
        <v>OLY-BEG-A – Session A (Week 4)</v>
      </c>
      <c r="G32" s="2">
        <v>45915</v>
      </c>
      <c r="H32" s="5" t="s">
        <v>271</v>
      </c>
      <c r="I32" t="s">
        <v>859</v>
      </c>
    </row>
    <row r="33" spans="1:9" x14ac:dyDescent="0.3">
      <c r="A33" t="s">
        <v>858</v>
      </c>
      <c r="B33" s="5" t="str">
        <f>_xlfn.XLOOKUP(Sessions[[#This Row],[ProgramID]], Programs[ProgramID], Programs[ProgramCode], "")</f>
        <v>OLY-BEG-A</v>
      </c>
      <c r="C33" s="5" t="s">
        <v>852</v>
      </c>
      <c r="D33" s="5">
        <f t="array" ref="D33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33" s="5" t="str">
        <f>Sessions[[#This Row],[ProgramCode]] &amp; "-" &amp; Sessions[[#This Row],[SessionCode]] &amp; "-" &amp; TEXT(Sessions[[#This Row],[SessionOrder]],"00")</f>
        <v>OLY-BEG-A-B-04</v>
      </c>
      <c r="F33" s="5" t="str">
        <f>Sessions[[#This Row],[ProgramCode]] &amp; " – Session " &amp; Sessions[[#This Row],[SessionCode]] &amp; " (Week " &amp; Sessions[[#This Row],[SessionOrder]] &amp; ")"</f>
        <v>OLY-BEG-A – Session B (Week 4)</v>
      </c>
      <c r="G33" s="2">
        <v>45916</v>
      </c>
      <c r="H33" s="5" t="s">
        <v>163</v>
      </c>
      <c r="I33" t="s">
        <v>860</v>
      </c>
    </row>
    <row r="34" spans="1:9" x14ac:dyDescent="0.3">
      <c r="A34" t="s">
        <v>858</v>
      </c>
      <c r="B34" s="5" t="str">
        <f>_xlfn.XLOOKUP(Sessions[[#This Row],[ProgramID]], Programs[ProgramID], Programs[ProgramCode], "")</f>
        <v>OLY-BEG-A</v>
      </c>
      <c r="C34" s="5" t="s">
        <v>855</v>
      </c>
      <c r="D34" s="5">
        <f t="array" ref="D34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34" s="5" t="str">
        <f>Sessions[[#This Row],[ProgramCode]] &amp; "-" &amp; Sessions[[#This Row],[SessionCode]] &amp; "-" &amp; TEXT(Sessions[[#This Row],[SessionOrder]],"00")</f>
        <v>OLY-BEG-A-C-04</v>
      </c>
      <c r="F34" s="5" t="str">
        <f>Sessions[[#This Row],[ProgramCode]] &amp; " – Session " &amp; Sessions[[#This Row],[SessionCode]] &amp; " (Week " &amp; Sessions[[#This Row],[SessionOrder]] &amp; ")"</f>
        <v>OLY-BEG-A – Session C (Week 4)</v>
      </c>
      <c r="G34" s="2">
        <v>45917</v>
      </c>
      <c r="H34" s="5" t="s">
        <v>861</v>
      </c>
      <c r="I34" t="s">
        <v>862</v>
      </c>
    </row>
    <row r="35" spans="1:9" x14ac:dyDescent="0.3">
      <c r="A35" t="s">
        <v>858</v>
      </c>
      <c r="B35" s="5" t="str">
        <f>_xlfn.XLOOKUP(Sessions[[#This Row],[ProgramID]], Programs[ProgramID], Programs[ProgramCode], "")</f>
        <v>OLY-BEG-A</v>
      </c>
      <c r="C35" s="5" t="s">
        <v>863</v>
      </c>
      <c r="D35" s="5">
        <f t="array" ref="D35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35" s="5" t="str">
        <f>Sessions[[#This Row],[ProgramCode]] &amp; "-" &amp; Sessions[[#This Row],[SessionCode]] &amp; "-" &amp; TEXT(Sessions[[#This Row],[SessionOrder]],"00")</f>
        <v>OLY-BEG-A-D-04</v>
      </c>
      <c r="F35" s="5" t="str">
        <f>Sessions[[#This Row],[ProgramCode]] &amp; " – Session " &amp; Sessions[[#This Row],[SessionCode]] &amp; " (Week " &amp; Sessions[[#This Row],[SessionOrder]] &amp; ")"</f>
        <v>OLY-BEG-A – Session D (Week 4)</v>
      </c>
      <c r="G35" s="2">
        <v>45918</v>
      </c>
      <c r="H35" s="5" t="s">
        <v>165</v>
      </c>
      <c r="I35" t="s">
        <v>859</v>
      </c>
    </row>
    <row r="36" spans="1:9" x14ac:dyDescent="0.3">
      <c r="A36" t="s">
        <v>864</v>
      </c>
      <c r="B36" s="5" t="str">
        <f>_xlfn.XLOOKUP(Sessions[[#This Row],[ProgramID]], Programs[ProgramID], Programs[ProgramCode], "")</f>
        <v>OLY-BEG-B</v>
      </c>
      <c r="C36" s="5" t="s">
        <v>849</v>
      </c>
      <c r="D36" s="5">
        <f t="array" ref="D36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36" s="5" t="str">
        <f>Sessions[[#This Row],[ProgramCode]] &amp; "-" &amp; Sessions[[#This Row],[SessionCode]] &amp; "-" &amp; TEXT(Sessions[[#This Row],[SessionOrder]],"00")</f>
        <v>OLY-BEG-B-A-01</v>
      </c>
      <c r="F36" s="5" t="str">
        <f>Sessions[[#This Row],[ProgramCode]] &amp; " – Session " &amp; Sessions[[#This Row],[SessionCode]] &amp; " (Week " &amp; Sessions[[#This Row],[SessionOrder]] &amp; ")"</f>
        <v>OLY-BEG-B – Session A (Week 1)</v>
      </c>
      <c r="G36" s="2">
        <v>45919</v>
      </c>
      <c r="H36" s="5" t="s">
        <v>271</v>
      </c>
      <c r="I36" t="s">
        <v>859</v>
      </c>
    </row>
    <row r="37" spans="1:9" x14ac:dyDescent="0.3">
      <c r="A37" t="s">
        <v>864</v>
      </c>
      <c r="B37" s="5" t="str">
        <f>_xlfn.XLOOKUP(Sessions[[#This Row],[ProgramID]], Programs[ProgramID], Programs[ProgramCode], "")</f>
        <v>OLY-BEG-B</v>
      </c>
      <c r="C37" s="5" t="s">
        <v>852</v>
      </c>
      <c r="D37" s="5">
        <f t="array" ref="D37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37" s="5" t="str">
        <f>Sessions[[#This Row],[ProgramCode]] &amp; "-" &amp; Sessions[[#This Row],[SessionCode]] &amp; "-" &amp; TEXT(Sessions[[#This Row],[SessionOrder]],"00")</f>
        <v>OLY-BEG-B-B-01</v>
      </c>
      <c r="F37" s="5" t="str">
        <f>Sessions[[#This Row],[ProgramCode]] &amp; " – Session " &amp; Sessions[[#This Row],[SessionCode]] &amp; " (Week " &amp; Sessions[[#This Row],[SessionOrder]] &amp; ")"</f>
        <v>OLY-BEG-B – Session B (Week 1)</v>
      </c>
      <c r="G37" s="2">
        <v>45920</v>
      </c>
      <c r="H37" s="5" t="s">
        <v>163</v>
      </c>
      <c r="I37" t="s">
        <v>860</v>
      </c>
    </row>
    <row r="38" spans="1:9" x14ac:dyDescent="0.3">
      <c r="A38" t="s">
        <v>864</v>
      </c>
      <c r="B38" s="5" t="str">
        <f>_xlfn.XLOOKUP(Sessions[[#This Row],[ProgramID]], Programs[ProgramID], Programs[ProgramCode], "")</f>
        <v>OLY-BEG-B</v>
      </c>
      <c r="C38" s="5" t="s">
        <v>855</v>
      </c>
      <c r="D38" s="5">
        <f t="array" ref="D38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38" s="5" t="str">
        <f>Sessions[[#This Row],[ProgramCode]] &amp; "-" &amp; Sessions[[#This Row],[SessionCode]] &amp; "-" &amp; TEXT(Sessions[[#This Row],[SessionOrder]],"00")</f>
        <v>OLY-BEG-B-C-01</v>
      </c>
      <c r="F38" s="5" t="str">
        <f>Sessions[[#This Row],[ProgramCode]] &amp; " – Session " &amp; Sessions[[#This Row],[SessionCode]] &amp; " (Week " &amp; Sessions[[#This Row],[SessionOrder]] &amp; ")"</f>
        <v>OLY-BEG-B – Session C (Week 1)</v>
      </c>
      <c r="G38" s="2">
        <v>45921</v>
      </c>
      <c r="H38" s="5" t="s">
        <v>865</v>
      </c>
      <c r="I38" t="s">
        <v>860</v>
      </c>
    </row>
    <row r="39" spans="1:9" x14ac:dyDescent="0.3">
      <c r="A39" t="s">
        <v>864</v>
      </c>
      <c r="B39" s="5" t="str">
        <f>_xlfn.XLOOKUP(Sessions[[#This Row],[ProgramID]], Programs[ProgramID], Programs[ProgramCode], "")</f>
        <v>OLY-BEG-B</v>
      </c>
      <c r="C39" s="5" t="s">
        <v>863</v>
      </c>
      <c r="D39" s="5">
        <f t="array" ref="D39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39" s="5" t="str">
        <f>Sessions[[#This Row],[ProgramCode]] &amp; "-" &amp; Sessions[[#This Row],[SessionCode]] &amp; "-" &amp; TEXT(Sessions[[#This Row],[SessionOrder]],"00")</f>
        <v>OLY-BEG-B-D-01</v>
      </c>
      <c r="F39" s="5" t="str">
        <f>Sessions[[#This Row],[ProgramCode]] &amp; " – Session " &amp; Sessions[[#This Row],[SessionCode]] &amp; " (Week " &amp; Sessions[[#This Row],[SessionOrder]] &amp; ")"</f>
        <v>OLY-BEG-B – Session D (Week 1)</v>
      </c>
      <c r="G39" s="2">
        <v>45922</v>
      </c>
      <c r="H39" s="5" t="s">
        <v>165</v>
      </c>
      <c r="I39" t="s">
        <v>859</v>
      </c>
    </row>
    <row r="40" spans="1:9" x14ac:dyDescent="0.3">
      <c r="A40" t="s">
        <v>864</v>
      </c>
      <c r="B40" s="5" t="str">
        <f>_xlfn.XLOOKUP(Sessions[[#This Row],[ProgramID]], Programs[ProgramID], Programs[ProgramCode], "")</f>
        <v>OLY-BEG-B</v>
      </c>
      <c r="C40" s="5" t="s">
        <v>849</v>
      </c>
      <c r="D40" s="5">
        <f t="array" ref="D40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40" s="5" t="str">
        <f>Sessions[[#This Row],[ProgramCode]] &amp; "-" &amp; Sessions[[#This Row],[SessionCode]] &amp; "-" &amp; TEXT(Sessions[[#This Row],[SessionOrder]],"00")</f>
        <v>OLY-BEG-B-A-02</v>
      </c>
      <c r="F40" s="5" t="str">
        <f>Sessions[[#This Row],[ProgramCode]] &amp; " – Session " &amp; Sessions[[#This Row],[SessionCode]] &amp; " (Week " &amp; Sessions[[#This Row],[SessionOrder]] &amp; ")"</f>
        <v>OLY-BEG-B – Session A (Week 2)</v>
      </c>
      <c r="G40" s="2">
        <v>45923</v>
      </c>
      <c r="H40" s="5" t="s">
        <v>271</v>
      </c>
      <c r="I40" t="s">
        <v>859</v>
      </c>
    </row>
    <row r="41" spans="1:9" x14ac:dyDescent="0.3">
      <c r="A41" t="s">
        <v>864</v>
      </c>
      <c r="B41" s="5" t="str">
        <f>_xlfn.XLOOKUP(Sessions[[#This Row],[ProgramID]], Programs[ProgramID], Programs[ProgramCode], "")</f>
        <v>OLY-BEG-B</v>
      </c>
      <c r="C41" s="5" t="s">
        <v>852</v>
      </c>
      <c r="D41" s="5">
        <f t="array" ref="D41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41" s="5" t="str">
        <f>Sessions[[#This Row],[ProgramCode]] &amp; "-" &amp; Sessions[[#This Row],[SessionCode]] &amp; "-" &amp; TEXT(Sessions[[#This Row],[SessionOrder]],"00")</f>
        <v>OLY-BEG-B-B-02</v>
      </c>
      <c r="F41" s="5" t="str">
        <f>Sessions[[#This Row],[ProgramCode]] &amp; " – Session " &amp; Sessions[[#This Row],[SessionCode]] &amp; " (Week " &amp; Sessions[[#This Row],[SessionOrder]] &amp; ")"</f>
        <v>OLY-BEG-B – Session B (Week 2)</v>
      </c>
      <c r="G41" s="2">
        <v>45924</v>
      </c>
      <c r="H41" s="5" t="s">
        <v>163</v>
      </c>
      <c r="I41" t="s">
        <v>860</v>
      </c>
    </row>
    <row r="42" spans="1:9" x14ac:dyDescent="0.3">
      <c r="A42" t="s">
        <v>864</v>
      </c>
      <c r="B42" s="5" t="str">
        <f>_xlfn.XLOOKUP(Sessions[[#This Row],[ProgramID]], Programs[ProgramID], Programs[ProgramCode], "")</f>
        <v>OLY-BEG-B</v>
      </c>
      <c r="C42" s="5" t="s">
        <v>855</v>
      </c>
      <c r="D42" s="5">
        <f t="array" ref="D42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42" s="5" t="str">
        <f>Sessions[[#This Row],[ProgramCode]] &amp; "-" &amp; Sessions[[#This Row],[SessionCode]] &amp; "-" &amp; TEXT(Sessions[[#This Row],[SessionOrder]],"00")</f>
        <v>OLY-BEG-B-C-02</v>
      </c>
      <c r="F42" s="5" t="str">
        <f>Sessions[[#This Row],[ProgramCode]] &amp; " – Session " &amp; Sessions[[#This Row],[SessionCode]] &amp; " (Week " &amp; Sessions[[#This Row],[SessionOrder]] &amp; ")"</f>
        <v>OLY-BEG-B – Session C (Week 2)</v>
      </c>
      <c r="G42" s="2">
        <v>45925</v>
      </c>
      <c r="H42" s="5" t="s">
        <v>865</v>
      </c>
      <c r="I42" t="s">
        <v>860</v>
      </c>
    </row>
    <row r="43" spans="1:9" x14ac:dyDescent="0.3">
      <c r="A43" t="s">
        <v>864</v>
      </c>
      <c r="B43" s="5" t="str">
        <f>_xlfn.XLOOKUP(Sessions[[#This Row],[ProgramID]], Programs[ProgramID], Programs[ProgramCode], "")</f>
        <v>OLY-BEG-B</v>
      </c>
      <c r="C43" s="5" t="s">
        <v>863</v>
      </c>
      <c r="D43" s="5">
        <f t="array" ref="D43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43" s="5" t="str">
        <f>Sessions[[#This Row],[ProgramCode]] &amp; "-" &amp; Sessions[[#This Row],[SessionCode]] &amp; "-" &amp; TEXT(Sessions[[#This Row],[SessionOrder]],"00")</f>
        <v>OLY-BEG-B-D-02</v>
      </c>
      <c r="F43" s="5" t="str">
        <f>Sessions[[#This Row],[ProgramCode]] &amp; " – Session " &amp; Sessions[[#This Row],[SessionCode]] &amp; " (Week " &amp; Sessions[[#This Row],[SessionOrder]] &amp; ")"</f>
        <v>OLY-BEG-B – Session D (Week 2)</v>
      </c>
      <c r="G43" s="2">
        <v>45926</v>
      </c>
      <c r="H43" s="5" t="s">
        <v>165</v>
      </c>
      <c r="I43" t="s">
        <v>859</v>
      </c>
    </row>
    <row r="44" spans="1:9" x14ac:dyDescent="0.3">
      <c r="A44" t="s">
        <v>864</v>
      </c>
      <c r="B44" s="5" t="str">
        <f>_xlfn.XLOOKUP(Sessions[[#This Row],[ProgramID]], Programs[ProgramID], Programs[ProgramCode], "")</f>
        <v>OLY-BEG-B</v>
      </c>
      <c r="C44" s="5" t="s">
        <v>849</v>
      </c>
      <c r="D44" s="5">
        <f t="array" ref="D44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44" s="5" t="str">
        <f>Sessions[[#This Row],[ProgramCode]] &amp; "-" &amp; Sessions[[#This Row],[SessionCode]] &amp; "-" &amp; TEXT(Sessions[[#This Row],[SessionOrder]],"00")</f>
        <v>OLY-BEG-B-A-03</v>
      </c>
      <c r="F44" s="5" t="str">
        <f>Sessions[[#This Row],[ProgramCode]] &amp; " – Session " &amp; Sessions[[#This Row],[SessionCode]] &amp; " (Week " &amp; Sessions[[#This Row],[SessionOrder]] &amp; ")"</f>
        <v>OLY-BEG-B – Session A (Week 3)</v>
      </c>
      <c r="G44" s="2">
        <v>45927</v>
      </c>
      <c r="H44" s="5" t="s">
        <v>271</v>
      </c>
      <c r="I44" t="s">
        <v>859</v>
      </c>
    </row>
    <row r="45" spans="1:9" x14ac:dyDescent="0.3">
      <c r="A45" t="s">
        <v>864</v>
      </c>
      <c r="B45" s="5" t="str">
        <f>_xlfn.XLOOKUP(Sessions[[#This Row],[ProgramID]], Programs[ProgramID], Programs[ProgramCode], "")</f>
        <v>OLY-BEG-B</v>
      </c>
      <c r="C45" s="5" t="s">
        <v>852</v>
      </c>
      <c r="D45" s="5">
        <f t="array" ref="D45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45" s="5" t="str">
        <f>Sessions[[#This Row],[ProgramCode]] &amp; "-" &amp; Sessions[[#This Row],[SessionCode]] &amp; "-" &amp; TEXT(Sessions[[#This Row],[SessionOrder]],"00")</f>
        <v>OLY-BEG-B-B-03</v>
      </c>
      <c r="F45" s="5" t="str">
        <f>Sessions[[#This Row],[ProgramCode]] &amp; " – Session " &amp; Sessions[[#This Row],[SessionCode]] &amp; " (Week " &amp; Sessions[[#This Row],[SessionOrder]] &amp; ")"</f>
        <v>OLY-BEG-B – Session B (Week 3)</v>
      </c>
      <c r="G45" s="2">
        <v>45928</v>
      </c>
      <c r="H45" s="5" t="s">
        <v>163</v>
      </c>
      <c r="I45" t="s">
        <v>860</v>
      </c>
    </row>
    <row r="46" spans="1:9" x14ac:dyDescent="0.3">
      <c r="A46" t="s">
        <v>864</v>
      </c>
      <c r="B46" s="5" t="str">
        <f>_xlfn.XLOOKUP(Sessions[[#This Row],[ProgramID]], Programs[ProgramID], Programs[ProgramCode], "")</f>
        <v>OLY-BEG-B</v>
      </c>
      <c r="C46" s="5" t="s">
        <v>855</v>
      </c>
      <c r="D46" s="5">
        <f t="array" ref="D46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46" s="5" t="str">
        <f>Sessions[[#This Row],[ProgramCode]] &amp; "-" &amp; Sessions[[#This Row],[SessionCode]] &amp; "-" &amp; TEXT(Sessions[[#This Row],[SessionOrder]],"00")</f>
        <v>OLY-BEG-B-C-03</v>
      </c>
      <c r="F46" s="5" t="str">
        <f>Sessions[[#This Row],[ProgramCode]] &amp; " – Session " &amp; Sessions[[#This Row],[SessionCode]] &amp; " (Week " &amp; Sessions[[#This Row],[SessionOrder]] &amp; ")"</f>
        <v>OLY-BEG-B – Session C (Week 3)</v>
      </c>
      <c r="G46" s="2">
        <v>45929</v>
      </c>
      <c r="H46" s="5" t="s">
        <v>865</v>
      </c>
      <c r="I46" t="s">
        <v>860</v>
      </c>
    </row>
    <row r="47" spans="1:9" x14ac:dyDescent="0.3">
      <c r="A47" t="s">
        <v>864</v>
      </c>
      <c r="B47" s="5" t="str">
        <f>_xlfn.XLOOKUP(Sessions[[#This Row],[ProgramID]], Programs[ProgramID], Programs[ProgramCode], "")</f>
        <v>OLY-BEG-B</v>
      </c>
      <c r="C47" s="5" t="s">
        <v>863</v>
      </c>
      <c r="D47" s="5">
        <f t="array" ref="D47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47" s="5" t="str">
        <f>Sessions[[#This Row],[ProgramCode]] &amp; "-" &amp; Sessions[[#This Row],[SessionCode]] &amp; "-" &amp; TEXT(Sessions[[#This Row],[SessionOrder]],"00")</f>
        <v>OLY-BEG-B-D-03</v>
      </c>
      <c r="F47" s="5" t="str">
        <f>Sessions[[#This Row],[ProgramCode]] &amp; " – Session " &amp; Sessions[[#This Row],[SessionCode]] &amp; " (Week " &amp; Sessions[[#This Row],[SessionOrder]] &amp; ")"</f>
        <v>OLY-BEG-B – Session D (Week 3)</v>
      </c>
      <c r="G47" s="2">
        <v>45930</v>
      </c>
      <c r="H47" s="5" t="s">
        <v>165</v>
      </c>
      <c r="I47" t="s">
        <v>859</v>
      </c>
    </row>
    <row r="48" spans="1:9" x14ac:dyDescent="0.3">
      <c r="A48" t="s">
        <v>864</v>
      </c>
      <c r="B48" s="5" t="str">
        <f>_xlfn.XLOOKUP(Sessions[[#This Row],[ProgramID]], Programs[ProgramID], Programs[ProgramCode], "")</f>
        <v>OLY-BEG-B</v>
      </c>
      <c r="C48" s="5" t="s">
        <v>849</v>
      </c>
      <c r="D48" s="5">
        <f t="array" ref="D48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48" s="5" t="str">
        <f>Sessions[[#This Row],[ProgramCode]] &amp; "-" &amp; Sessions[[#This Row],[SessionCode]] &amp; "-" &amp; TEXT(Sessions[[#This Row],[SessionOrder]],"00")</f>
        <v>OLY-BEG-B-A-04</v>
      </c>
      <c r="F48" s="5" t="str">
        <f>Sessions[[#This Row],[ProgramCode]] &amp; " – Session " &amp; Sessions[[#This Row],[SessionCode]] &amp; " (Week " &amp; Sessions[[#This Row],[SessionOrder]] &amp; ")"</f>
        <v>OLY-BEG-B – Session A (Week 4)</v>
      </c>
      <c r="G48" s="2">
        <v>45931</v>
      </c>
      <c r="H48" s="5" t="s">
        <v>271</v>
      </c>
      <c r="I48" t="s">
        <v>859</v>
      </c>
    </row>
    <row r="49" spans="1:9" x14ac:dyDescent="0.3">
      <c r="A49" t="s">
        <v>864</v>
      </c>
      <c r="B49" s="5" t="str">
        <f>_xlfn.XLOOKUP(Sessions[[#This Row],[ProgramID]], Programs[ProgramID], Programs[ProgramCode], "")</f>
        <v>OLY-BEG-B</v>
      </c>
      <c r="C49" s="5" t="s">
        <v>852</v>
      </c>
      <c r="D49" s="5">
        <f t="array" ref="D49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49" s="5" t="str">
        <f>Sessions[[#This Row],[ProgramCode]] &amp; "-" &amp; Sessions[[#This Row],[SessionCode]] &amp; "-" &amp; TEXT(Sessions[[#This Row],[SessionOrder]],"00")</f>
        <v>OLY-BEG-B-B-04</v>
      </c>
      <c r="F49" s="5" t="str">
        <f>Sessions[[#This Row],[ProgramCode]] &amp; " – Session " &amp; Sessions[[#This Row],[SessionCode]] &amp; " (Week " &amp; Sessions[[#This Row],[SessionOrder]] &amp; ")"</f>
        <v>OLY-BEG-B – Session B (Week 4)</v>
      </c>
      <c r="G49" s="2">
        <v>45932</v>
      </c>
      <c r="H49" s="5" t="s">
        <v>163</v>
      </c>
      <c r="I49" t="s">
        <v>860</v>
      </c>
    </row>
    <row r="50" spans="1:9" x14ac:dyDescent="0.3">
      <c r="A50" t="s">
        <v>864</v>
      </c>
      <c r="B50" s="5" t="str">
        <f>_xlfn.XLOOKUP(Sessions[[#This Row],[ProgramID]], Programs[ProgramID], Programs[ProgramCode], "")</f>
        <v>OLY-BEG-B</v>
      </c>
      <c r="C50" s="5" t="s">
        <v>855</v>
      </c>
      <c r="D50" s="5">
        <f t="array" ref="D50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50" s="5" t="str">
        <f>Sessions[[#This Row],[ProgramCode]] &amp; "-" &amp; Sessions[[#This Row],[SessionCode]] &amp; "-" &amp; TEXT(Sessions[[#This Row],[SessionOrder]],"00")</f>
        <v>OLY-BEG-B-C-04</v>
      </c>
      <c r="F50" s="5" t="str">
        <f>Sessions[[#This Row],[ProgramCode]] &amp; " – Session " &amp; Sessions[[#This Row],[SessionCode]] &amp; " (Week " &amp; Sessions[[#This Row],[SessionOrder]] &amp; ")"</f>
        <v>OLY-BEG-B – Session C (Week 4)</v>
      </c>
      <c r="G50" s="2">
        <v>45933</v>
      </c>
      <c r="H50" s="5" t="s">
        <v>865</v>
      </c>
      <c r="I50" t="s">
        <v>860</v>
      </c>
    </row>
    <row r="51" spans="1:9" x14ac:dyDescent="0.3">
      <c r="A51" t="s">
        <v>864</v>
      </c>
      <c r="B51" s="5" t="str">
        <f>_xlfn.XLOOKUP(Sessions[[#This Row],[ProgramID]], Programs[ProgramID], Programs[ProgramCode], "")</f>
        <v>OLY-BEG-B</v>
      </c>
      <c r="C51" s="5" t="s">
        <v>863</v>
      </c>
      <c r="D51" s="5">
        <f t="array" ref="D51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51" s="5" t="str">
        <f>Sessions[[#This Row],[ProgramCode]] &amp; "-" &amp; Sessions[[#This Row],[SessionCode]] &amp; "-" &amp; TEXT(Sessions[[#This Row],[SessionOrder]],"00")</f>
        <v>OLY-BEG-B-D-04</v>
      </c>
      <c r="F51" s="5" t="str">
        <f>Sessions[[#This Row],[ProgramCode]] &amp; " – Session " &amp; Sessions[[#This Row],[SessionCode]] &amp; " (Week " &amp; Sessions[[#This Row],[SessionOrder]] &amp; ")"</f>
        <v>OLY-BEG-B – Session D (Week 4)</v>
      </c>
      <c r="G51" s="2">
        <v>45934</v>
      </c>
      <c r="H51" s="5" t="s">
        <v>165</v>
      </c>
      <c r="I51" t="s">
        <v>859</v>
      </c>
    </row>
    <row r="52" spans="1:9" x14ac:dyDescent="0.3">
      <c r="A52" t="s">
        <v>866</v>
      </c>
      <c r="B52" s="5" t="str">
        <f>_xlfn.XLOOKUP(Sessions[[#This Row],[ProgramID]], Programs[ProgramID], Programs[ProgramCode], "")</f>
        <v>OLY-L1_A</v>
      </c>
      <c r="C52" s="5" t="s">
        <v>849</v>
      </c>
      <c r="D52" s="5">
        <f t="array" ref="D5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52" s="5" t="str">
        <f>Sessions[[#This Row],[ProgramCode]] &amp; "-" &amp; Sessions[[#This Row],[SessionCode]] &amp; "-" &amp; TEXT(Sessions[[#This Row],[SessionOrder]],"00")</f>
        <v>OLY-L1_A-A-01</v>
      </c>
      <c r="F52" s="5" t="str">
        <f>Sessions[[#This Row],[ProgramCode]] &amp; " – Session " &amp; Sessions[[#This Row],[SessionCode]] &amp; " (Week " &amp; Sessions[[#This Row],[SessionOrder]] &amp; ")"</f>
        <v>OLY-L1_A – Session A (Week 1)</v>
      </c>
      <c r="G52" s="2">
        <v>45935</v>
      </c>
      <c r="H52" s="5" t="s">
        <v>271</v>
      </c>
      <c r="I52" t="s">
        <v>859</v>
      </c>
    </row>
    <row r="53" spans="1:9" x14ac:dyDescent="0.3">
      <c r="A53" t="s">
        <v>866</v>
      </c>
      <c r="B53" s="5" t="str">
        <f>_xlfn.XLOOKUP(Sessions[[#This Row],[ProgramID]], Programs[ProgramID], Programs[ProgramCode], "")</f>
        <v>OLY-L1_A</v>
      </c>
      <c r="C53" s="5" t="s">
        <v>852</v>
      </c>
      <c r="D53" s="5">
        <f t="array" ref="D5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53" s="5" t="str">
        <f>Sessions[[#This Row],[ProgramCode]] &amp; "-" &amp; Sessions[[#This Row],[SessionCode]] &amp; "-" &amp; TEXT(Sessions[[#This Row],[SessionOrder]],"00")</f>
        <v>OLY-L1_A-B-01</v>
      </c>
      <c r="F53" s="5" t="str">
        <f>Sessions[[#This Row],[ProgramCode]] &amp; " – Session " &amp; Sessions[[#This Row],[SessionCode]] &amp; " (Week " &amp; Sessions[[#This Row],[SessionOrder]] &amp; ")"</f>
        <v>OLY-L1_A – Session B (Week 1)</v>
      </c>
      <c r="G53" s="2">
        <v>45936</v>
      </c>
      <c r="H53" s="5" t="s">
        <v>865</v>
      </c>
      <c r="I53" t="s">
        <v>860</v>
      </c>
    </row>
    <row r="54" spans="1:9" x14ac:dyDescent="0.3">
      <c r="A54" t="s">
        <v>866</v>
      </c>
      <c r="B54" s="5" t="str">
        <f>_xlfn.XLOOKUP(Sessions[[#This Row],[ProgramID]], Programs[ProgramID], Programs[ProgramCode], "")</f>
        <v>OLY-L1_A</v>
      </c>
      <c r="C54" s="5" t="s">
        <v>855</v>
      </c>
      <c r="D54" s="5">
        <f t="array" ref="D54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54" s="5" t="str">
        <f>Sessions[[#This Row],[ProgramCode]] &amp; "-" &amp; Sessions[[#This Row],[SessionCode]] &amp; "-" &amp; TEXT(Sessions[[#This Row],[SessionOrder]],"00")</f>
        <v>OLY-L1_A-C-01</v>
      </c>
      <c r="F54" s="5" t="str">
        <f>Sessions[[#This Row],[ProgramCode]] &amp; " – Session " &amp; Sessions[[#This Row],[SessionCode]] &amp; " (Week " &amp; Sessions[[#This Row],[SessionOrder]] &amp; ")"</f>
        <v>OLY-L1_A – Session C (Week 1)</v>
      </c>
      <c r="G54" s="2">
        <v>45937</v>
      </c>
      <c r="H54" s="5" t="s">
        <v>573</v>
      </c>
      <c r="I54" t="s">
        <v>859</v>
      </c>
    </row>
    <row r="55" spans="1:9" x14ac:dyDescent="0.3">
      <c r="A55" t="s">
        <v>866</v>
      </c>
      <c r="B55" s="5" t="str">
        <f>_xlfn.XLOOKUP(Sessions[[#This Row],[ProgramID]], Programs[ProgramID], Programs[ProgramCode], "")</f>
        <v>OLY-L1_A</v>
      </c>
      <c r="C55" s="5" t="s">
        <v>863</v>
      </c>
      <c r="D55" s="5">
        <f t="array" ref="D55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55" s="5" t="str">
        <f>Sessions[[#This Row],[ProgramCode]] &amp; "-" &amp; Sessions[[#This Row],[SessionCode]] &amp; "-" &amp; TEXT(Sessions[[#This Row],[SessionOrder]],"00")</f>
        <v>OLY-L1_A-D-01</v>
      </c>
      <c r="F55" s="5" t="str">
        <f>Sessions[[#This Row],[ProgramCode]] &amp; " – Session " &amp; Sessions[[#This Row],[SessionCode]] &amp; " (Week " &amp; Sessions[[#This Row],[SessionOrder]] &amp; ")"</f>
        <v>OLY-L1_A – Session D (Week 1)</v>
      </c>
      <c r="G55" s="2">
        <v>45938</v>
      </c>
      <c r="H55" s="5" t="s">
        <v>867</v>
      </c>
      <c r="I55" t="s">
        <v>862</v>
      </c>
    </row>
    <row r="56" spans="1:9" x14ac:dyDescent="0.3">
      <c r="A56" t="s">
        <v>866</v>
      </c>
      <c r="B56" s="5" t="str">
        <f>_xlfn.XLOOKUP(Sessions[[#This Row],[ProgramID]], Programs[ProgramID], Programs[ProgramCode], "")</f>
        <v>OLY-L1_A</v>
      </c>
      <c r="C56" s="5" t="s">
        <v>849</v>
      </c>
      <c r="D56" s="5">
        <f t="array" ref="D56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56" s="5" t="str">
        <f>Sessions[[#This Row],[ProgramCode]] &amp; "-" &amp; Sessions[[#This Row],[SessionCode]] &amp; "-" &amp; TEXT(Sessions[[#This Row],[SessionOrder]],"00")</f>
        <v>OLY-L1_A-A-02</v>
      </c>
      <c r="F56" s="5" t="str">
        <f>Sessions[[#This Row],[ProgramCode]] &amp; " – Session " &amp; Sessions[[#This Row],[SessionCode]] &amp; " (Week " &amp; Sessions[[#This Row],[SessionOrder]] &amp; ")"</f>
        <v>OLY-L1_A – Session A (Week 2)</v>
      </c>
      <c r="G56" s="2">
        <v>45939</v>
      </c>
      <c r="H56" s="5" t="s">
        <v>271</v>
      </c>
      <c r="I56" t="s">
        <v>859</v>
      </c>
    </row>
    <row r="57" spans="1:9" x14ac:dyDescent="0.3">
      <c r="A57" t="s">
        <v>866</v>
      </c>
      <c r="B57" s="5" t="str">
        <f>_xlfn.XLOOKUP(Sessions[[#This Row],[ProgramID]], Programs[ProgramID], Programs[ProgramCode], "")</f>
        <v>OLY-L1_A</v>
      </c>
      <c r="C57" s="5" t="s">
        <v>852</v>
      </c>
      <c r="D57" s="5">
        <f t="array" ref="D5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57" s="5" t="str">
        <f>Sessions[[#This Row],[ProgramCode]] &amp; "-" &amp; Sessions[[#This Row],[SessionCode]] &amp; "-" &amp; TEXT(Sessions[[#This Row],[SessionOrder]],"00")</f>
        <v>OLY-L1_A-B-02</v>
      </c>
      <c r="F57" s="5" t="str">
        <f>Sessions[[#This Row],[ProgramCode]] &amp; " – Session " &amp; Sessions[[#This Row],[SessionCode]] &amp; " (Week " &amp; Sessions[[#This Row],[SessionOrder]] &amp; ")"</f>
        <v>OLY-L1_A – Session B (Week 2)</v>
      </c>
      <c r="G57" s="2">
        <v>45940</v>
      </c>
      <c r="H57" s="5" t="s">
        <v>865</v>
      </c>
      <c r="I57" t="s">
        <v>860</v>
      </c>
    </row>
    <row r="58" spans="1:9" x14ac:dyDescent="0.3">
      <c r="A58" t="s">
        <v>866</v>
      </c>
      <c r="B58" s="5" t="str">
        <f>_xlfn.XLOOKUP(Sessions[[#This Row],[ProgramID]], Programs[ProgramID], Programs[ProgramCode], "")</f>
        <v>OLY-L1_A</v>
      </c>
      <c r="C58" s="5" t="s">
        <v>855</v>
      </c>
      <c r="D58" s="5">
        <f t="array" ref="D58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58" s="5" t="str">
        <f>Sessions[[#This Row],[ProgramCode]] &amp; "-" &amp; Sessions[[#This Row],[SessionCode]] &amp; "-" &amp; TEXT(Sessions[[#This Row],[SessionOrder]],"00")</f>
        <v>OLY-L1_A-C-02</v>
      </c>
      <c r="F58" s="5" t="str">
        <f>Sessions[[#This Row],[ProgramCode]] &amp; " – Session " &amp; Sessions[[#This Row],[SessionCode]] &amp; " (Week " &amp; Sessions[[#This Row],[SessionOrder]] &amp; ")"</f>
        <v>OLY-L1_A – Session C (Week 2)</v>
      </c>
      <c r="G58" s="2">
        <v>45941</v>
      </c>
      <c r="H58" s="5" t="s">
        <v>573</v>
      </c>
      <c r="I58" t="s">
        <v>859</v>
      </c>
    </row>
    <row r="59" spans="1:9" x14ac:dyDescent="0.3">
      <c r="A59" t="s">
        <v>866</v>
      </c>
      <c r="B59" s="5" t="str">
        <f>_xlfn.XLOOKUP(Sessions[[#This Row],[ProgramID]], Programs[ProgramID], Programs[ProgramCode], "")</f>
        <v>OLY-L1_A</v>
      </c>
      <c r="C59" s="5" t="s">
        <v>863</v>
      </c>
      <c r="D59" s="5">
        <f t="array" ref="D59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59" s="5" t="str">
        <f>Sessions[[#This Row],[ProgramCode]] &amp; "-" &amp; Sessions[[#This Row],[SessionCode]] &amp; "-" &amp; TEXT(Sessions[[#This Row],[SessionOrder]],"00")</f>
        <v>OLY-L1_A-D-02</v>
      </c>
      <c r="F59" s="5" t="str">
        <f>Sessions[[#This Row],[ProgramCode]] &amp; " – Session " &amp; Sessions[[#This Row],[SessionCode]] &amp; " (Week " &amp; Sessions[[#This Row],[SessionOrder]] &amp; ")"</f>
        <v>OLY-L1_A – Session D (Week 2)</v>
      </c>
      <c r="G59" s="2">
        <v>45942</v>
      </c>
      <c r="H59" s="5" t="s">
        <v>867</v>
      </c>
      <c r="I59" t="s">
        <v>862</v>
      </c>
    </row>
    <row r="60" spans="1:9" x14ac:dyDescent="0.3">
      <c r="A60" t="s">
        <v>866</v>
      </c>
      <c r="B60" s="5" t="str">
        <f>_xlfn.XLOOKUP(Sessions[[#This Row],[ProgramID]], Programs[ProgramID], Programs[ProgramCode], "")</f>
        <v>OLY-L1_A</v>
      </c>
      <c r="C60" s="5" t="s">
        <v>849</v>
      </c>
      <c r="D60" s="5">
        <f t="array" ref="D60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60" s="5" t="str">
        <f>Sessions[[#This Row],[ProgramCode]] &amp; "-" &amp; Sessions[[#This Row],[SessionCode]] &amp; "-" &amp; TEXT(Sessions[[#This Row],[SessionOrder]],"00")</f>
        <v>OLY-L1_A-A-03</v>
      </c>
      <c r="F60" s="5" t="str">
        <f>Sessions[[#This Row],[ProgramCode]] &amp; " – Session " &amp; Sessions[[#This Row],[SessionCode]] &amp; " (Week " &amp; Sessions[[#This Row],[SessionOrder]] &amp; ")"</f>
        <v>OLY-L1_A – Session A (Week 3)</v>
      </c>
      <c r="G60" s="2">
        <v>45943</v>
      </c>
      <c r="H60" s="5" t="s">
        <v>271</v>
      </c>
      <c r="I60" t="s">
        <v>859</v>
      </c>
    </row>
    <row r="61" spans="1:9" x14ac:dyDescent="0.3">
      <c r="A61" t="s">
        <v>866</v>
      </c>
      <c r="B61" s="5" t="str">
        <f>_xlfn.XLOOKUP(Sessions[[#This Row],[ProgramID]], Programs[ProgramID], Programs[ProgramCode], "")</f>
        <v>OLY-L1_A</v>
      </c>
      <c r="C61" s="5" t="s">
        <v>852</v>
      </c>
      <c r="D61" s="5">
        <f t="array" ref="D61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61" s="5" t="str">
        <f>Sessions[[#This Row],[ProgramCode]] &amp; "-" &amp; Sessions[[#This Row],[SessionCode]] &amp; "-" &amp; TEXT(Sessions[[#This Row],[SessionOrder]],"00")</f>
        <v>OLY-L1_A-B-03</v>
      </c>
      <c r="F61" s="5" t="str">
        <f>Sessions[[#This Row],[ProgramCode]] &amp; " – Session " &amp; Sessions[[#This Row],[SessionCode]] &amp; " (Week " &amp; Sessions[[#This Row],[SessionOrder]] &amp; ")"</f>
        <v>OLY-L1_A – Session B (Week 3)</v>
      </c>
      <c r="G61" s="2">
        <v>45944</v>
      </c>
      <c r="H61" s="5" t="s">
        <v>865</v>
      </c>
      <c r="I61" t="s">
        <v>860</v>
      </c>
    </row>
    <row r="62" spans="1:9" x14ac:dyDescent="0.3">
      <c r="A62" t="s">
        <v>866</v>
      </c>
      <c r="B62" s="5" t="str">
        <f>_xlfn.XLOOKUP(Sessions[[#This Row],[ProgramID]], Programs[ProgramID], Programs[ProgramCode], "")</f>
        <v>OLY-L1_A</v>
      </c>
      <c r="C62" s="5" t="s">
        <v>855</v>
      </c>
      <c r="D62" s="5">
        <f t="array" ref="D62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62" s="5" t="str">
        <f>Sessions[[#This Row],[ProgramCode]] &amp; "-" &amp; Sessions[[#This Row],[SessionCode]] &amp; "-" &amp; TEXT(Sessions[[#This Row],[SessionOrder]],"00")</f>
        <v>OLY-L1_A-C-03</v>
      </c>
      <c r="F62" s="5" t="str">
        <f>Sessions[[#This Row],[ProgramCode]] &amp; " – Session " &amp; Sessions[[#This Row],[SessionCode]] &amp; " (Week " &amp; Sessions[[#This Row],[SessionOrder]] &amp; ")"</f>
        <v>OLY-L1_A – Session C (Week 3)</v>
      </c>
      <c r="G62" s="2">
        <v>45945</v>
      </c>
      <c r="H62" s="5" t="s">
        <v>573</v>
      </c>
      <c r="I62" t="s">
        <v>859</v>
      </c>
    </row>
    <row r="63" spans="1:9" x14ac:dyDescent="0.3">
      <c r="A63" t="s">
        <v>866</v>
      </c>
      <c r="B63" s="5" t="str">
        <f>_xlfn.XLOOKUP(Sessions[[#This Row],[ProgramID]], Programs[ProgramID], Programs[ProgramCode], "")</f>
        <v>OLY-L1_A</v>
      </c>
      <c r="C63" s="5" t="s">
        <v>863</v>
      </c>
      <c r="D63" s="5">
        <f t="array" ref="D63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63" s="5" t="str">
        <f>Sessions[[#This Row],[ProgramCode]] &amp; "-" &amp; Sessions[[#This Row],[SessionCode]] &amp; "-" &amp; TEXT(Sessions[[#This Row],[SessionOrder]],"00")</f>
        <v>OLY-L1_A-D-03</v>
      </c>
      <c r="F63" s="5" t="str">
        <f>Sessions[[#This Row],[ProgramCode]] &amp; " – Session " &amp; Sessions[[#This Row],[SessionCode]] &amp; " (Week " &amp; Sessions[[#This Row],[SessionOrder]] &amp; ")"</f>
        <v>OLY-L1_A – Session D (Week 3)</v>
      </c>
      <c r="G63" s="2">
        <v>45946</v>
      </c>
      <c r="H63" s="5" t="s">
        <v>867</v>
      </c>
      <c r="I63" t="s">
        <v>862</v>
      </c>
    </row>
    <row r="64" spans="1:9" x14ac:dyDescent="0.3">
      <c r="A64" t="s">
        <v>866</v>
      </c>
      <c r="B64" s="5" t="str">
        <f>_xlfn.XLOOKUP(Sessions[[#This Row],[ProgramID]], Programs[ProgramID], Programs[ProgramCode], "")</f>
        <v>OLY-L1_A</v>
      </c>
      <c r="C64" s="5" t="s">
        <v>849</v>
      </c>
      <c r="D64" s="5">
        <f t="array" ref="D64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64" s="5" t="str">
        <f>Sessions[[#This Row],[ProgramCode]] &amp; "-" &amp; Sessions[[#This Row],[SessionCode]] &amp; "-" &amp; TEXT(Sessions[[#This Row],[SessionOrder]],"00")</f>
        <v>OLY-L1_A-A-04</v>
      </c>
      <c r="F64" s="5" t="str">
        <f>Sessions[[#This Row],[ProgramCode]] &amp; " – Session " &amp; Sessions[[#This Row],[SessionCode]] &amp; " (Week " &amp; Sessions[[#This Row],[SessionOrder]] &amp; ")"</f>
        <v>OLY-L1_A – Session A (Week 4)</v>
      </c>
      <c r="G64" s="2">
        <v>45947</v>
      </c>
      <c r="H64" s="5" t="s">
        <v>271</v>
      </c>
      <c r="I64" t="s">
        <v>859</v>
      </c>
    </row>
    <row r="65" spans="1:9" x14ac:dyDescent="0.3">
      <c r="A65" t="s">
        <v>866</v>
      </c>
      <c r="B65" s="5" t="str">
        <f>_xlfn.XLOOKUP(Sessions[[#This Row],[ProgramID]], Programs[ProgramID], Programs[ProgramCode], "")</f>
        <v>OLY-L1_A</v>
      </c>
      <c r="C65" s="5" t="s">
        <v>852</v>
      </c>
      <c r="D65" s="5">
        <f t="array" ref="D65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65" s="5" t="str">
        <f>Sessions[[#This Row],[ProgramCode]] &amp; "-" &amp; Sessions[[#This Row],[SessionCode]] &amp; "-" &amp; TEXT(Sessions[[#This Row],[SessionOrder]],"00")</f>
        <v>OLY-L1_A-B-04</v>
      </c>
      <c r="F65" s="5" t="str">
        <f>Sessions[[#This Row],[ProgramCode]] &amp; " – Session " &amp; Sessions[[#This Row],[SessionCode]] &amp; " (Week " &amp; Sessions[[#This Row],[SessionOrder]] &amp; ")"</f>
        <v>OLY-L1_A – Session B (Week 4)</v>
      </c>
      <c r="G65" s="2">
        <v>45948</v>
      </c>
      <c r="H65" s="5" t="s">
        <v>865</v>
      </c>
      <c r="I65" t="s">
        <v>860</v>
      </c>
    </row>
    <row r="66" spans="1:9" x14ac:dyDescent="0.3">
      <c r="A66" t="s">
        <v>866</v>
      </c>
      <c r="B66" s="5" t="str">
        <f>_xlfn.XLOOKUP(Sessions[[#This Row],[ProgramID]], Programs[ProgramID], Programs[ProgramCode], "")</f>
        <v>OLY-L1_A</v>
      </c>
      <c r="C66" s="5" t="s">
        <v>855</v>
      </c>
      <c r="D66" s="5">
        <f t="array" ref="D66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66" s="5" t="str">
        <f>Sessions[[#This Row],[ProgramCode]] &amp; "-" &amp; Sessions[[#This Row],[SessionCode]] &amp; "-" &amp; TEXT(Sessions[[#This Row],[SessionOrder]],"00")</f>
        <v>OLY-L1_A-C-04</v>
      </c>
      <c r="F66" s="5" t="str">
        <f>Sessions[[#This Row],[ProgramCode]] &amp; " – Session " &amp; Sessions[[#This Row],[SessionCode]] &amp; " (Week " &amp; Sessions[[#This Row],[SessionOrder]] &amp; ")"</f>
        <v>OLY-L1_A – Session C (Week 4)</v>
      </c>
      <c r="G66" s="2">
        <v>45949</v>
      </c>
      <c r="H66" s="5" t="s">
        <v>573</v>
      </c>
      <c r="I66" t="s">
        <v>859</v>
      </c>
    </row>
    <row r="67" spans="1:9" x14ac:dyDescent="0.3">
      <c r="A67" t="s">
        <v>866</v>
      </c>
      <c r="B67" s="5" t="str">
        <f>_xlfn.XLOOKUP(Sessions[[#This Row],[ProgramID]], Programs[ProgramID], Programs[ProgramCode], "")</f>
        <v>OLY-L1_A</v>
      </c>
      <c r="C67" s="5" t="s">
        <v>863</v>
      </c>
      <c r="D67" s="5">
        <f t="array" ref="D67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67" s="5" t="str">
        <f>Sessions[[#This Row],[ProgramCode]] &amp; "-" &amp; Sessions[[#This Row],[SessionCode]] &amp; "-" &amp; TEXT(Sessions[[#This Row],[SessionOrder]],"00")</f>
        <v>OLY-L1_A-D-04</v>
      </c>
      <c r="F67" s="5" t="str">
        <f>Sessions[[#This Row],[ProgramCode]] &amp; " – Session " &amp; Sessions[[#This Row],[SessionCode]] &amp; " (Week " &amp; Sessions[[#This Row],[SessionOrder]] &amp; ")"</f>
        <v>OLY-L1_A – Session D (Week 4)</v>
      </c>
      <c r="G67" s="2">
        <v>45950</v>
      </c>
      <c r="H67" s="5" t="s">
        <v>867</v>
      </c>
      <c r="I67" t="s">
        <v>862</v>
      </c>
    </row>
    <row r="68" spans="1:9" x14ac:dyDescent="0.3">
      <c r="A68" t="s">
        <v>868</v>
      </c>
      <c r="B68" s="5" t="str">
        <f>_xlfn.XLOOKUP(Sessions[[#This Row],[ProgramID]], Programs[ProgramID], Programs[ProgramCode], "")</f>
        <v>10W_SQUAT</v>
      </c>
      <c r="C68" s="5" t="s">
        <v>849</v>
      </c>
      <c r="D68" s="5">
        <f t="array" ref="D68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68" s="5" t="str">
        <f>Sessions[[#This Row],[ProgramCode]] &amp; "-" &amp; Sessions[[#This Row],[SessionCode]] &amp; "-" &amp; TEXT(Sessions[[#This Row],[SessionOrder]],"00")</f>
        <v>10W_SQUAT-A-01</v>
      </c>
      <c r="F68" s="5" t="str">
        <f>Sessions[[#This Row],[ProgramCode]] &amp; " – Session " &amp; Sessions[[#This Row],[SessionCode]] &amp; " (Week " &amp; Sessions[[#This Row],[SessionOrder]] &amp; ")"</f>
        <v>10W_SQUAT – Session A (Week 1)</v>
      </c>
      <c r="G68" s="2">
        <v>45951</v>
      </c>
      <c r="H68" s="5" t="s">
        <v>279</v>
      </c>
    </row>
    <row r="69" spans="1:9" x14ac:dyDescent="0.3">
      <c r="A69" t="s">
        <v>868</v>
      </c>
      <c r="B69" s="5" t="str">
        <f>_xlfn.XLOOKUP(Sessions[[#This Row],[ProgramID]], Programs[ProgramID], Programs[ProgramCode], "")</f>
        <v>10W_SQUAT</v>
      </c>
      <c r="C69" s="5" t="s">
        <v>852</v>
      </c>
      <c r="D69" s="5">
        <f t="array" ref="D69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69" s="5" t="str">
        <f>Sessions[[#This Row],[ProgramCode]] &amp; "-" &amp; Sessions[[#This Row],[SessionCode]] &amp; "-" &amp; TEXT(Sessions[[#This Row],[SessionOrder]],"00")</f>
        <v>10W_SQUAT-B-01</v>
      </c>
      <c r="F69" s="5" t="str">
        <f>Sessions[[#This Row],[ProgramCode]] &amp; " – Session " &amp; Sessions[[#This Row],[SessionCode]] &amp; " (Week " &amp; Sessions[[#This Row],[SessionOrder]] &amp; ")"</f>
        <v>10W_SQUAT – Session B (Week 1)</v>
      </c>
      <c r="G69" s="2">
        <v>45952</v>
      </c>
      <c r="H69" s="5" t="s">
        <v>297</v>
      </c>
    </row>
    <row r="70" spans="1:9" x14ac:dyDescent="0.3">
      <c r="A70" t="s">
        <v>868</v>
      </c>
      <c r="B70" s="5" t="str">
        <f>_xlfn.XLOOKUP(Sessions[[#This Row],[ProgramID]], Programs[ProgramID], Programs[ProgramCode], "")</f>
        <v>10W_SQUAT</v>
      </c>
      <c r="C70" s="5" t="s">
        <v>855</v>
      </c>
      <c r="D70" s="5">
        <f t="array" ref="D70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70" s="5" t="str">
        <f>Sessions[[#This Row],[ProgramCode]] &amp; "-" &amp; Sessions[[#This Row],[SessionCode]] &amp; "-" &amp; TEXT(Sessions[[#This Row],[SessionOrder]],"00")</f>
        <v>10W_SQUAT-C-01</v>
      </c>
      <c r="F70" s="5" t="str">
        <f>Sessions[[#This Row],[ProgramCode]] &amp; " – Session " &amp; Sessions[[#This Row],[SessionCode]] &amp; " (Week " &amp; Sessions[[#This Row],[SessionOrder]] &amp; ")"</f>
        <v>10W_SQUAT – Session C (Week 1)</v>
      </c>
      <c r="G70" s="2">
        <v>45953</v>
      </c>
      <c r="H70" s="5" t="s">
        <v>279</v>
      </c>
    </row>
    <row r="71" spans="1:9" x14ac:dyDescent="0.3">
      <c r="A71" t="s">
        <v>868</v>
      </c>
      <c r="B71" s="5" t="str">
        <f>_xlfn.XLOOKUP(Sessions[[#This Row],[ProgramID]], Programs[ProgramID], Programs[ProgramCode], "")</f>
        <v>10W_SQUAT</v>
      </c>
      <c r="C71" s="5" t="s">
        <v>863</v>
      </c>
      <c r="D71" s="5">
        <f t="array" ref="D71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71" s="5" t="str">
        <f>Sessions[[#This Row],[ProgramCode]] &amp; "-" &amp; Sessions[[#This Row],[SessionCode]] &amp; "-" &amp; TEXT(Sessions[[#This Row],[SessionOrder]],"00")</f>
        <v>10W_SQUAT-D-01</v>
      </c>
      <c r="F71" s="5" t="str">
        <f>Sessions[[#This Row],[ProgramCode]] &amp; " – Session " &amp; Sessions[[#This Row],[SessionCode]] &amp; " (Week " &amp; Sessions[[#This Row],[SessionOrder]] &amp; ")"</f>
        <v>10W_SQUAT – Session D (Week 1)</v>
      </c>
      <c r="G71" s="2">
        <v>45954</v>
      </c>
      <c r="H71" s="5" t="s">
        <v>297</v>
      </c>
    </row>
    <row r="72" spans="1:9" x14ac:dyDescent="0.3">
      <c r="A72" t="s">
        <v>868</v>
      </c>
      <c r="B72" s="5" t="str">
        <f>_xlfn.XLOOKUP(Sessions[[#This Row],[ProgramID]], Programs[ProgramID], Programs[ProgramCode], "")</f>
        <v>10W_SQUAT</v>
      </c>
      <c r="C72" s="5" t="s">
        <v>869</v>
      </c>
      <c r="D72" s="5">
        <f t="array" ref="D7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72" s="5" t="str">
        <f>Sessions[[#This Row],[ProgramCode]] &amp; "-" &amp; Sessions[[#This Row],[SessionCode]] &amp; "-" &amp; TEXT(Sessions[[#This Row],[SessionOrder]],"00")</f>
        <v>10W_SQUAT-E-01</v>
      </c>
      <c r="F72" s="5" t="str">
        <f>Sessions[[#This Row],[ProgramCode]] &amp; " – Session " &amp; Sessions[[#This Row],[SessionCode]] &amp; " (Week " &amp; Sessions[[#This Row],[SessionOrder]] &amp; ")"</f>
        <v>10W_SQUAT – Session E (Week 1)</v>
      </c>
      <c r="G72" s="2">
        <v>45955</v>
      </c>
      <c r="H72" s="5" t="s">
        <v>279</v>
      </c>
    </row>
    <row r="73" spans="1:9" x14ac:dyDescent="0.3">
      <c r="A73" t="s">
        <v>868</v>
      </c>
      <c r="B73" s="5" t="str">
        <f>_xlfn.XLOOKUP(Sessions[[#This Row],[ProgramID]], Programs[ProgramID], Programs[ProgramCode], "")</f>
        <v>10W_SQUAT</v>
      </c>
      <c r="C73" s="5" t="s">
        <v>870</v>
      </c>
      <c r="D73" s="5">
        <f t="array" ref="D7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73" s="5" t="str">
        <f>Sessions[[#This Row],[ProgramCode]] &amp; "-" &amp; Sessions[[#This Row],[SessionCode]] &amp; "-" &amp; TEXT(Sessions[[#This Row],[SessionOrder]],"00")</f>
        <v>10W_SQUAT-F-01</v>
      </c>
      <c r="F73" s="5" t="str">
        <f>Sessions[[#This Row],[ProgramCode]] &amp; " – Session " &amp; Sessions[[#This Row],[SessionCode]] &amp; " (Week " &amp; Sessions[[#This Row],[SessionOrder]] &amp; ")"</f>
        <v>10W_SQUAT – Session F (Week 1)</v>
      </c>
      <c r="G73" s="2">
        <v>45956</v>
      </c>
      <c r="H73" s="5" t="s">
        <v>279</v>
      </c>
    </row>
    <row r="74" spans="1:9" x14ac:dyDescent="0.3">
      <c r="A74" t="s">
        <v>868</v>
      </c>
      <c r="B74" s="5" t="str">
        <f>_xlfn.XLOOKUP(Sessions[[#This Row],[ProgramID]], Programs[ProgramID], Programs[ProgramCode], "")</f>
        <v>10W_SQUAT</v>
      </c>
      <c r="C74" s="5" t="s">
        <v>849</v>
      </c>
      <c r="D74" s="5">
        <f t="array" ref="D74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4" s="5" t="str">
        <f>Sessions[[#This Row],[ProgramCode]] &amp; "-" &amp; Sessions[[#This Row],[SessionCode]] &amp; "-" &amp; TEXT(Sessions[[#This Row],[SessionOrder]],"00")</f>
        <v>10W_SQUAT-A-02</v>
      </c>
      <c r="F74" s="5" t="str">
        <f>Sessions[[#This Row],[ProgramCode]] &amp; " – Session " &amp; Sessions[[#This Row],[SessionCode]] &amp; " (Week " &amp; Sessions[[#This Row],[SessionOrder]] &amp; ")"</f>
        <v>10W_SQUAT – Session A (Week 2)</v>
      </c>
      <c r="G74" s="2">
        <v>45957</v>
      </c>
      <c r="H74" s="5" t="s">
        <v>279</v>
      </c>
    </row>
    <row r="75" spans="1:9" x14ac:dyDescent="0.3">
      <c r="A75" t="s">
        <v>868</v>
      </c>
      <c r="B75" s="5" t="str">
        <f>_xlfn.XLOOKUP(Sessions[[#This Row],[ProgramID]], Programs[ProgramID], Programs[ProgramCode], "")</f>
        <v>10W_SQUAT</v>
      </c>
      <c r="C75" s="5" t="s">
        <v>852</v>
      </c>
      <c r="D75" s="5">
        <f t="array" ref="D75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5" s="5" t="str">
        <f>Sessions[[#This Row],[ProgramCode]] &amp; "-" &amp; Sessions[[#This Row],[SessionCode]] &amp; "-" &amp; TEXT(Sessions[[#This Row],[SessionOrder]],"00")</f>
        <v>10W_SQUAT-B-02</v>
      </c>
      <c r="F75" s="5" t="str">
        <f>Sessions[[#This Row],[ProgramCode]] &amp; " – Session " &amp; Sessions[[#This Row],[SessionCode]] &amp; " (Week " &amp; Sessions[[#This Row],[SessionOrder]] &amp; ")"</f>
        <v>10W_SQUAT – Session B (Week 2)</v>
      </c>
      <c r="G75" s="2">
        <v>45958</v>
      </c>
      <c r="H75" s="5" t="s">
        <v>297</v>
      </c>
    </row>
    <row r="76" spans="1:9" x14ac:dyDescent="0.3">
      <c r="A76" t="s">
        <v>868</v>
      </c>
      <c r="B76" s="5" t="str">
        <f>_xlfn.XLOOKUP(Sessions[[#This Row],[ProgramID]], Programs[ProgramID], Programs[ProgramCode], "")</f>
        <v>10W_SQUAT</v>
      </c>
      <c r="C76" s="5" t="s">
        <v>855</v>
      </c>
      <c r="D76" s="5">
        <f t="array" ref="D76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6" s="5" t="str">
        <f>Sessions[[#This Row],[ProgramCode]] &amp; "-" &amp; Sessions[[#This Row],[SessionCode]] &amp; "-" &amp; TEXT(Sessions[[#This Row],[SessionOrder]],"00")</f>
        <v>10W_SQUAT-C-02</v>
      </c>
      <c r="F76" s="5" t="str">
        <f>Sessions[[#This Row],[ProgramCode]] &amp; " – Session " &amp; Sessions[[#This Row],[SessionCode]] &amp; " (Week " &amp; Sessions[[#This Row],[SessionOrder]] &amp; ")"</f>
        <v>10W_SQUAT – Session C (Week 2)</v>
      </c>
      <c r="G76" s="2">
        <v>45959</v>
      </c>
      <c r="H76" s="5" t="s">
        <v>279</v>
      </c>
    </row>
    <row r="77" spans="1:9" x14ac:dyDescent="0.3">
      <c r="A77" t="s">
        <v>868</v>
      </c>
      <c r="B77" s="5" t="str">
        <f>_xlfn.XLOOKUP(Sessions[[#This Row],[ProgramID]], Programs[ProgramID], Programs[ProgramCode], "")</f>
        <v>10W_SQUAT</v>
      </c>
      <c r="C77" s="5" t="s">
        <v>863</v>
      </c>
      <c r="D77" s="5">
        <f t="array" ref="D7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7" s="5" t="str">
        <f>Sessions[[#This Row],[ProgramCode]] &amp; "-" &amp; Sessions[[#This Row],[SessionCode]] &amp; "-" &amp; TEXT(Sessions[[#This Row],[SessionOrder]],"00")</f>
        <v>10W_SQUAT-D-02</v>
      </c>
      <c r="F77" s="5" t="str">
        <f>Sessions[[#This Row],[ProgramCode]] &amp; " – Session " &amp; Sessions[[#This Row],[SessionCode]] &amp; " (Week " &amp; Sessions[[#This Row],[SessionOrder]] &amp; ")"</f>
        <v>10W_SQUAT – Session D (Week 2)</v>
      </c>
      <c r="G77" s="2">
        <v>45960</v>
      </c>
      <c r="H77" s="5" t="s">
        <v>297</v>
      </c>
    </row>
    <row r="78" spans="1:9" x14ac:dyDescent="0.3">
      <c r="A78" t="s">
        <v>868</v>
      </c>
      <c r="B78" s="5" t="str">
        <f>_xlfn.XLOOKUP(Sessions[[#This Row],[ProgramID]], Programs[ProgramID], Programs[ProgramCode], "")</f>
        <v>10W_SQUAT</v>
      </c>
      <c r="C78" s="5" t="s">
        <v>869</v>
      </c>
      <c r="D78" s="5">
        <f t="array" ref="D78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8" s="5" t="str">
        <f>Sessions[[#This Row],[ProgramCode]] &amp; "-" &amp; Sessions[[#This Row],[SessionCode]] &amp; "-" &amp; TEXT(Sessions[[#This Row],[SessionOrder]],"00")</f>
        <v>10W_SQUAT-E-02</v>
      </c>
      <c r="F78" s="5" t="str">
        <f>Sessions[[#This Row],[ProgramCode]] &amp; " – Session " &amp; Sessions[[#This Row],[SessionCode]] &amp; " (Week " &amp; Sessions[[#This Row],[SessionOrder]] &amp; ")"</f>
        <v>10W_SQUAT – Session E (Week 2)</v>
      </c>
      <c r="G78" s="2">
        <v>45961</v>
      </c>
      <c r="H78" s="5" t="s">
        <v>279</v>
      </c>
    </row>
    <row r="79" spans="1:9" x14ac:dyDescent="0.3">
      <c r="A79" t="s">
        <v>868</v>
      </c>
      <c r="B79" s="5" t="str">
        <f>_xlfn.XLOOKUP(Sessions[[#This Row],[ProgramID]], Programs[ProgramID], Programs[ProgramCode], "")</f>
        <v>10W_SQUAT</v>
      </c>
      <c r="C79" s="5" t="s">
        <v>870</v>
      </c>
      <c r="D79" s="5">
        <f t="array" ref="D79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79" s="5" t="str">
        <f>Sessions[[#This Row],[ProgramCode]] &amp; "-" &amp; Sessions[[#This Row],[SessionCode]] &amp; "-" &amp; TEXT(Sessions[[#This Row],[SessionOrder]],"00")</f>
        <v>10W_SQUAT-F-02</v>
      </c>
      <c r="F79" s="5" t="str">
        <f>Sessions[[#This Row],[ProgramCode]] &amp; " – Session " &amp; Sessions[[#This Row],[SessionCode]] &amp; " (Week " &amp; Sessions[[#This Row],[SessionOrder]] &amp; ")"</f>
        <v>10W_SQUAT – Session F (Week 2)</v>
      </c>
      <c r="G79" s="2">
        <v>45962</v>
      </c>
      <c r="H79" s="5" t="s">
        <v>279</v>
      </c>
    </row>
    <row r="80" spans="1:9" x14ac:dyDescent="0.3">
      <c r="A80" t="s">
        <v>868</v>
      </c>
      <c r="B80" s="5" t="str">
        <f>_xlfn.XLOOKUP(Sessions[[#This Row],[ProgramID]], Programs[ProgramID], Programs[ProgramCode], "")</f>
        <v>10W_SQUAT</v>
      </c>
      <c r="C80" s="5" t="s">
        <v>849</v>
      </c>
      <c r="D80" s="5">
        <f t="array" ref="D80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0" s="5" t="str">
        <f>Sessions[[#This Row],[ProgramCode]] &amp; "-" &amp; Sessions[[#This Row],[SessionCode]] &amp; "-" &amp; TEXT(Sessions[[#This Row],[SessionOrder]],"00")</f>
        <v>10W_SQUAT-A-03</v>
      </c>
      <c r="F80" s="5" t="str">
        <f>Sessions[[#This Row],[ProgramCode]] &amp; " – Session " &amp; Sessions[[#This Row],[SessionCode]] &amp; " (Week " &amp; Sessions[[#This Row],[SessionOrder]] &amp; ")"</f>
        <v>10W_SQUAT – Session A (Week 3)</v>
      </c>
      <c r="G80" s="2">
        <v>45963</v>
      </c>
      <c r="H80" s="5" t="s">
        <v>279</v>
      </c>
    </row>
    <row r="81" spans="1:8" x14ac:dyDescent="0.3">
      <c r="A81" t="s">
        <v>868</v>
      </c>
      <c r="B81" s="5" t="str">
        <f>_xlfn.XLOOKUP(Sessions[[#This Row],[ProgramID]], Programs[ProgramID], Programs[ProgramCode], "")</f>
        <v>10W_SQUAT</v>
      </c>
      <c r="C81" s="5" t="s">
        <v>852</v>
      </c>
      <c r="D81" s="5">
        <f t="array" ref="D81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1" s="5" t="str">
        <f>Sessions[[#This Row],[ProgramCode]] &amp; "-" &amp; Sessions[[#This Row],[SessionCode]] &amp; "-" &amp; TEXT(Sessions[[#This Row],[SessionOrder]],"00")</f>
        <v>10W_SQUAT-B-03</v>
      </c>
      <c r="F81" s="5" t="str">
        <f>Sessions[[#This Row],[ProgramCode]] &amp; " – Session " &amp; Sessions[[#This Row],[SessionCode]] &amp; " (Week " &amp; Sessions[[#This Row],[SessionOrder]] &amp; ")"</f>
        <v>10W_SQUAT – Session B (Week 3)</v>
      </c>
      <c r="G81" s="2">
        <v>45964</v>
      </c>
      <c r="H81" s="5" t="s">
        <v>297</v>
      </c>
    </row>
    <row r="82" spans="1:8" x14ac:dyDescent="0.3">
      <c r="A82" t="s">
        <v>868</v>
      </c>
      <c r="B82" s="5" t="str">
        <f>_xlfn.XLOOKUP(Sessions[[#This Row],[ProgramID]], Programs[ProgramID], Programs[ProgramCode], "")</f>
        <v>10W_SQUAT</v>
      </c>
      <c r="C82" s="5" t="s">
        <v>855</v>
      </c>
      <c r="D82" s="5">
        <f t="array" ref="D82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2" s="5" t="str">
        <f>Sessions[[#This Row],[ProgramCode]] &amp; "-" &amp; Sessions[[#This Row],[SessionCode]] &amp; "-" &amp; TEXT(Sessions[[#This Row],[SessionOrder]],"00")</f>
        <v>10W_SQUAT-C-03</v>
      </c>
      <c r="F82" s="5" t="str">
        <f>Sessions[[#This Row],[ProgramCode]] &amp; " – Session " &amp; Sessions[[#This Row],[SessionCode]] &amp; " (Week " &amp; Sessions[[#This Row],[SessionOrder]] &amp; ")"</f>
        <v>10W_SQUAT – Session C (Week 3)</v>
      </c>
      <c r="G82" s="2">
        <v>45965</v>
      </c>
      <c r="H82" s="5" t="s">
        <v>279</v>
      </c>
    </row>
    <row r="83" spans="1:8" x14ac:dyDescent="0.3">
      <c r="A83" t="s">
        <v>868</v>
      </c>
      <c r="B83" s="5" t="str">
        <f>_xlfn.XLOOKUP(Sessions[[#This Row],[ProgramID]], Programs[ProgramID], Programs[ProgramCode], "")</f>
        <v>10W_SQUAT</v>
      </c>
      <c r="C83" s="5" t="s">
        <v>863</v>
      </c>
      <c r="D83" s="5">
        <f t="array" ref="D83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3" s="5" t="str">
        <f>Sessions[[#This Row],[ProgramCode]] &amp; "-" &amp; Sessions[[#This Row],[SessionCode]] &amp; "-" &amp; TEXT(Sessions[[#This Row],[SessionOrder]],"00")</f>
        <v>10W_SQUAT-D-03</v>
      </c>
      <c r="F83" s="5" t="str">
        <f>Sessions[[#This Row],[ProgramCode]] &amp; " – Session " &amp; Sessions[[#This Row],[SessionCode]] &amp; " (Week " &amp; Sessions[[#This Row],[SessionOrder]] &amp; ")"</f>
        <v>10W_SQUAT – Session D (Week 3)</v>
      </c>
      <c r="G83" s="2">
        <v>45966</v>
      </c>
      <c r="H83" s="5" t="s">
        <v>297</v>
      </c>
    </row>
    <row r="84" spans="1:8" x14ac:dyDescent="0.3">
      <c r="A84" t="s">
        <v>868</v>
      </c>
      <c r="B84" s="5" t="str">
        <f>_xlfn.XLOOKUP(Sessions[[#This Row],[ProgramID]], Programs[ProgramID], Programs[ProgramCode], "")</f>
        <v>10W_SQUAT</v>
      </c>
      <c r="C84" s="5" t="s">
        <v>869</v>
      </c>
      <c r="D84" s="5">
        <f t="array" ref="D84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4" s="5" t="str">
        <f>Sessions[[#This Row],[ProgramCode]] &amp; "-" &amp; Sessions[[#This Row],[SessionCode]] &amp; "-" &amp; TEXT(Sessions[[#This Row],[SessionOrder]],"00")</f>
        <v>10W_SQUAT-E-03</v>
      </c>
      <c r="F84" s="5" t="str">
        <f>Sessions[[#This Row],[ProgramCode]] &amp; " – Session " &amp; Sessions[[#This Row],[SessionCode]] &amp; " (Week " &amp; Sessions[[#This Row],[SessionOrder]] &amp; ")"</f>
        <v>10W_SQUAT – Session E (Week 3)</v>
      </c>
      <c r="G84" s="2">
        <v>45967</v>
      </c>
      <c r="H84" s="5" t="s">
        <v>279</v>
      </c>
    </row>
    <row r="85" spans="1:8" x14ac:dyDescent="0.3">
      <c r="A85" t="s">
        <v>868</v>
      </c>
      <c r="B85" s="5" t="str">
        <f>_xlfn.XLOOKUP(Sessions[[#This Row],[ProgramID]], Programs[ProgramID], Programs[ProgramCode], "")</f>
        <v>10W_SQUAT</v>
      </c>
      <c r="C85" s="5" t="s">
        <v>870</v>
      </c>
      <c r="D85" s="5">
        <f t="array" ref="D85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85" s="5" t="str">
        <f>Sessions[[#This Row],[ProgramCode]] &amp; "-" &amp; Sessions[[#This Row],[SessionCode]] &amp; "-" &amp; TEXT(Sessions[[#This Row],[SessionOrder]],"00")</f>
        <v>10W_SQUAT-F-03</v>
      </c>
      <c r="F85" s="5" t="str">
        <f>Sessions[[#This Row],[ProgramCode]] &amp; " – Session " &amp; Sessions[[#This Row],[SessionCode]] &amp; " (Week " &amp; Sessions[[#This Row],[SessionOrder]] &amp; ")"</f>
        <v>10W_SQUAT – Session F (Week 3)</v>
      </c>
      <c r="G85" s="2">
        <v>45968</v>
      </c>
      <c r="H85" s="5" t="s">
        <v>279</v>
      </c>
    </row>
    <row r="86" spans="1:8" x14ac:dyDescent="0.3">
      <c r="A86" t="s">
        <v>868</v>
      </c>
      <c r="B86" s="5" t="str">
        <f>_xlfn.XLOOKUP(Sessions[[#This Row],[ProgramID]], Programs[ProgramID], Programs[ProgramCode], "")</f>
        <v>10W_SQUAT</v>
      </c>
      <c r="C86" s="5" t="s">
        <v>849</v>
      </c>
      <c r="D86" s="5">
        <f t="array" ref="D86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86" s="5" t="str">
        <f>Sessions[[#This Row],[ProgramCode]] &amp; "-" &amp; Sessions[[#This Row],[SessionCode]] &amp; "-" &amp; TEXT(Sessions[[#This Row],[SessionOrder]],"00")</f>
        <v>10W_SQUAT-A-04</v>
      </c>
      <c r="F86" s="5" t="str">
        <f>Sessions[[#This Row],[ProgramCode]] &amp; " – Session " &amp; Sessions[[#This Row],[SessionCode]] &amp; " (Week " &amp; Sessions[[#This Row],[SessionOrder]] &amp; ")"</f>
        <v>10W_SQUAT – Session A (Week 4)</v>
      </c>
      <c r="G86" s="2">
        <v>45969</v>
      </c>
      <c r="H86" s="5" t="s">
        <v>279</v>
      </c>
    </row>
    <row r="87" spans="1:8" x14ac:dyDescent="0.3">
      <c r="A87" t="s">
        <v>868</v>
      </c>
      <c r="B87" s="5" t="str">
        <f>_xlfn.XLOOKUP(Sessions[[#This Row],[ProgramID]], Programs[ProgramID], Programs[ProgramCode], "")</f>
        <v>10W_SQUAT</v>
      </c>
      <c r="C87" s="5" t="s">
        <v>852</v>
      </c>
      <c r="D87" s="5">
        <f t="array" ref="D87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87" s="5" t="str">
        <f>Sessions[[#This Row],[ProgramCode]] &amp; "-" &amp; Sessions[[#This Row],[SessionCode]] &amp; "-" &amp; TEXT(Sessions[[#This Row],[SessionOrder]],"00")</f>
        <v>10W_SQUAT-B-04</v>
      </c>
      <c r="F87" s="5" t="str">
        <f>Sessions[[#This Row],[ProgramCode]] &amp; " – Session " &amp; Sessions[[#This Row],[SessionCode]] &amp; " (Week " &amp; Sessions[[#This Row],[SessionOrder]] &amp; ")"</f>
        <v>10W_SQUAT – Session B (Week 4)</v>
      </c>
      <c r="G87" s="2">
        <v>45970</v>
      </c>
      <c r="H87" s="5" t="s">
        <v>297</v>
      </c>
    </row>
    <row r="88" spans="1:8" x14ac:dyDescent="0.3">
      <c r="A88" t="s">
        <v>868</v>
      </c>
      <c r="B88" s="5" t="str">
        <f>_xlfn.XLOOKUP(Sessions[[#This Row],[ProgramID]], Programs[ProgramID], Programs[ProgramCode], "")</f>
        <v>10W_SQUAT</v>
      </c>
      <c r="C88" s="5" t="s">
        <v>855</v>
      </c>
      <c r="D88" s="5">
        <f t="array" ref="D88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88" s="5" t="str">
        <f>Sessions[[#This Row],[ProgramCode]] &amp; "-" &amp; Sessions[[#This Row],[SessionCode]] &amp; "-" &amp; TEXT(Sessions[[#This Row],[SessionOrder]],"00")</f>
        <v>10W_SQUAT-C-04</v>
      </c>
      <c r="F88" s="5" t="str">
        <f>Sessions[[#This Row],[ProgramCode]] &amp; " – Session " &amp; Sessions[[#This Row],[SessionCode]] &amp; " (Week " &amp; Sessions[[#This Row],[SessionOrder]] &amp; ")"</f>
        <v>10W_SQUAT – Session C (Week 4)</v>
      </c>
      <c r="G88" s="2">
        <v>45971</v>
      </c>
      <c r="H88" s="5" t="s">
        <v>279</v>
      </c>
    </row>
    <row r="89" spans="1:8" x14ac:dyDescent="0.3">
      <c r="A89" t="s">
        <v>868</v>
      </c>
      <c r="B89" s="5" t="str">
        <f>_xlfn.XLOOKUP(Sessions[[#This Row],[ProgramID]], Programs[ProgramID], Programs[ProgramCode], "")</f>
        <v>10W_SQUAT</v>
      </c>
      <c r="C89" s="5" t="s">
        <v>863</v>
      </c>
      <c r="D89" s="5">
        <f t="array" ref="D89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89" s="5" t="str">
        <f>Sessions[[#This Row],[ProgramCode]] &amp; "-" &amp; Sessions[[#This Row],[SessionCode]] &amp; "-" &amp; TEXT(Sessions[[#This Row],[SessionOrder]],"00")</f>
        <v>10W_SQUAT-D-04</v>
      </c>
      <c r="F89" s="5" t="str">
        <f>Sessions[[#This Row],[ProgramCode]] &amp; " – Session " &amp; Sessions[[#This Row],[SessionCode]] &amp; " (Week " &amp; Sessions[[#This Row],[SessionOrder]] &amp; ")"</f>
        <v>10W_SQUAT – Session D (Week 4)</v>
      </c>
      <c r="G89" s="2">
        <v>45972</v>
      </c>
      <c r="H89" s="5" t="s">
        <v>297</v>
      </c>
    </row>
    <row r="90" spans="1:8" x14ac:dyDescent="0.3">
      <c r="A90" t="s">
        <v>868</v>
      </c>
      <c r="B90" s="5" t="str">
        <f>_xlfn.XLOOKUP(Sessions[[#This Row],[ProgramID]], Programs[ProgramID], Programs[ProgramCode], "")</f>
        <v>10W_SQUAT</v>
      </c>
      <c r="C90" s="5" t="s">
        <v>869</v>
      </c>
      <c r="D90" s="5">
        <f t="array" ref="D90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90" s="5" t="str">
        <f>Sessions[[#This Row],[ProgramCode]] &amp; "-" &amp; Sessions[[#This Row],[SessionCode]] &amp; "-" &amp; TEXT(Sessions[[#This Row],[SessionOrder]],"00")</f>
        <v>10W_SQUAT-E-04</v>
      </c>
      <c r="F90" s="5" t="str">
        <f>Sessions[[#This Row],[ProgramCode]] &amp; " – Session " &amp; Sessions[[#This Row],[SessionCode]] &amp; " (Week " &amp; Sessions[[#This Row],[SessionOrder]] &amp; ")"</f>
        <v>10W_SQUAT – Session E (Week 4)</v>
      </c>
      <c r="G90" s="2">
        <v>45973</v>
      </c>
      <c r="H90" s="5" t="s">
        <v>279</v>
      </c>
    </row>
    <row r="91" spans="1:8" x14ac:dyDescent="0.3">
      <c r="A91" t="s">
        <v>868</v>
      </c>
      <c r="B91" s="5" t="str">
        <f>_xlfn.XLOOKUP(Sessions[[#This Row],[ProgramID]], Programs[ProgramID], Programs[ProgramCode], "")</f>
        <v>10W_SQUAT</v>
      </c>
      <c r="C91" s="5" t="s">
        <v>870</v>
      </c>
      <c r="D91" s="5">
        <f t="array" ref="D91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91" s="5" t="str">
        <f>Sessions[[#This Row],[ProgramCode]] &amp; "-" &amp; Sessions[[#This Row],[SessionCode]] &amp; "-" &amp; TEXT(Sessions[[#This Row],[SessionOrder]],"00")</f>
        <v>10W_SQUAT-F-04</v>
      </c>
      <c r="F91" s="5" t="str">
        <f>Sessions[[#This Row],[ProgramCode]] &amp; " – Session " &amp; Sessions[[#This Row],[SessionCode]] &amp; " (Week " &amp; Sessions[[#This Row],[SessionOrder]] &amp; ")"</f>
        <v>10W_SQUAT – Session F (Week 4)</v>
      </c>
      <c r="G91" s="2">
        <v>45974</v>
      </c>
      <c r="H91" s="5" t="s">
        <v>279</v>
      </c>
    </row>
    <row r="92" spans="1:8" x14ac:dyDescent="0.3">
      <c r="A92" t="s">
        <v>868</v>
      </c>
      <c r="B92" s="5" t="str">
        <f>_xlfn.XLOOKUP(Sessions[[#This Row],[ProgramID]], Programs[ProgramID], Programs[ProgramCode], "")</f>
        <v>10W_SQUAT</v>
      </c>
      <c r="C92" s="5" t="s">
        <v>849</v>
      </c>
      <c r="D92" s="5">
        <f t="array" ref="D92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92" s="5" t="str">
        <f>Sessions[[#This Row],[ProgramCode]] &amp; "-" &amp; Sessions[[#This Row],[SessionCode]] &amp; "-" &amp; TEXT(Sessions[[#This Row],[SessionOrder]],"00")</f>
        <v>10W_SQUAT-A-05</v>
      </c>
      <c r="F92" s="5" t="str">
        <f>Sessions[[#This Row],[ProgramCode]] &amp; " – Session " &amp; Sessions[[#This Row],[SessionCode]] &amp; " (Week " &amp; Sessions[[#This Row],[SessionOrder]] &amp; ")"</f>
        <v>10W_SQUAT – Session A (Week 5)</v>
      </c>
      <c r="G92" s="2">
        <v>45975</v>
      </c>
      <c r="H92" s="5" t="s">
        <v>279</v>
      </c>
    </row>
    <row r="93" spans="1:8" x14ac:dyDescent="0.3">
      <c r="A93" t="s">
        <v>868</v>
      </c>
      <c r="B93" s="5" t="str">
        <f>_xlfn.XLOOKUP(Sessions[[#This Row],[ProgramID]], Programs[ProgramID], Programs[ProgramCode], "")</f>
        <v>10W_SQUAT</v>
      </c>
      <c r="C93" s="5" t="s">
        <v>852</v>
      </c>
      <c r="D93" s="5">
        <f t="array" ref="D93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93" s="5" t="str">
        <f>Sessions[[#This Row],[ProgramCode]] &amp; "-" &amp; Sessions[[#This Row],[SessionCode]] &amp; "-" &amp; TEXT(Sessions[[#This Row],[SessionOrder]],"00")</f>
        <v>10W_SQUAT-B-05</v>
      </c>
      <c r="F93" s="5" t="str">
        <f>Sessions[[#This Row],[ProgramCode]] &amp; " – Session " &amp; Sessions[[#This Row],[SessionCode]] &amp; " (Week " &amp; Sessions[[#This Row],[SessionOrder]] &amp; ")"</f>
        <v>10W_SQUAT – Session B (Week 5)</v>
      </c>
      <c r="G93" s="2">
        <v>45976</v>
      </c>
      <c r="H93" s="5" t="s">
        <v>297</v>
      </c>
    </row>
    <row r="94" spans="1:8" x14ac:dyDescent="0.3">
      <c r="A94" t="s">
        <v>868</v>
      </c>
      <c r="B94" s="5" t="str">
        <f>_xlfn.XLOOKUP(Sessions[[#This Row],[ProgramID]], Programs[ProgramID], Programs[ProgramCode], "")</f>
        <v>10W_SQUAT</v>
      </c>
      <c r="C94" s="5" t="s">
        <v>855</v>
      </c>
      <c r="D94" s="5">
        <f t="array" ref="D94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94" s="5" t="str">
        <f>Sessions[[#This Row],[ProgramCode]] &amp; "-" &amp; Sessions[[#This Row],[SessionCode]] &amp; "-" &amp; TEXT(Sessions[[#This Row],[SessionOrder]],"00")</f>
        <v>10W_SQUAT-C-05</v>
      </c>
      <c r="F94" s="5" t="str">
        <f>Sessions[[#This Row],[ProgramCode]] &amp; " – Session " &amp; Sessions[[#This Row],[SessionCode]] &amp; " (Week " &amp; Sessions[[#This Row],[SessionOrder]] &amp; ")"</f>
        <v>10W_SQUAT – Session C (Week 5)</v>
      </c>
      <c r="G94" s="2">
        <v>45977</v>
      </c>
      <c r="H94" s="5" t="s">
        <v>279</v>
      </c>
    </row>
    <row r="95" spans="1:8" x14ac:dyDescent="0.3">
      <c r="A95" t="s">
        <v>868</v>
      </c>
      <c r="B95" s="5" t="str">
        <f>_xlfn.XLOOKUP(Sessions[[#This Row],[ProgramID]], Programs[ProgramID], Programs[ProgramCode], "")</f>
        <v>10W_SQUAT</v>
      </c>
      <c r="C95" s="5" t="s">
        <v>863</v>
      </c>
      <c r="D95" s="5">
        <f t="array" ref="D95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95" s="5" t="str">
        <f>Sessions[[#This Row],[ProgramCode]] &amp; "-" &amp; Sessions[[#This Row],[SessionCode]] &amp; "-" &amp; TEXT(Sessions[[#This Row],[SessionOrder]],"00")</f>
        <v>10W_SQUAT-D-05</v>
      </c>
      <c r="F95" s="5" t="str">
        <f>Sessions[[#This Row],[ProgramCode]] &amp; " – Session " &amp; Sessions[[#This Row],[SessionCode]] &amp; " (Week " &amp; Sessions[[#This Row],[SessionOrder]] &amp; ")"</f>
        <v>10W_SQUAT – Session D (Week 5)</v>
      </c>
      <c r="G95" s="2">
        <v>45978</v>
      </c>
      <c r="H95" s="5" t="s">
        <v>297</v>
      </c>
    </row>
    <row r="96" spans="1:8" x14ac:dyDescent="0.3">
      <c r="A96" t="s">
        <v>868</v>
      </c>
      <c r="B96" s="5" t="str">
        <f>_xlfn.XLOOKUP(Sessions[[#This Row],[ProgramID]], Programs[ProgramID], Programs[ProgramCode], "")</f>
        <v>10W_SQUAT</v>
      </c>
      <c r="C96" s="5" t="s">
        <v>869</v>
      </c>
      <c r="D96" s="5">
        <f t="array" ref="D96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96" s="5" t="str">
        <f>Sessions[[#This Row],[ProgramCode]] &amp; "-" &amp; Sessions[[#This Row],[SessionCode]] &amp; "-" &amp; TEXT(Sessions[[#This Row],[SessionOrder]],"00")</f>
        <v>10W_SQUAT-E-05</v>
      </c>
      <c r="F96" s="5" t="str">
        <f>Sessions[[#This Row],[ProgramCode]] &amp; " – Session " &amp; Sessions[[#This Row],[SessionCode]] &amp; " (Week " &amp; Sessions[[#This Row],[SessionOrder]] &amp; ")"</f>
        <v>10W_SQUAT – Session E (Week 5)</v>
      </c>
      <c r="G96" s="2">
        <v>45979</v>
      </c>
      <c r="H96" s="5" t="s">
        <v>279</v>
      </c>
    </row>
    <row r="97" spans="1:8" x14ac:dyDescent="0.3">
      <c r="A97" t="s">
        <v>868</v>
      </c>
      <c r="B97" s="5" t="str">
        <f>_xlfn.XLOOKUP(Sessions[[#This Row],[ProgramID]], Programs[ProgramID], Programs[ProgramCode], "")</f>
        <v>10W_SQUAT</v>
      </c>
      <c r="C97" s="5" t="s">
        <v>870</v>
      </c>
      <c r="D97" s="5">
        <f t="array" ref="D97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97" s="5" t="str">
        <f>Sessions[[#This Row],[ProgramCode]] &amp; "-" &amp; Sessions[[#This Row],[SessionCode]] &amp; "-" &amp; TEXT(Sessions[[#This Row],[SessionOrder]],"00")</f>
        <v>10W_SQUAT-F-05</v>
      </c>
      <c r="F97" s="5" t="str">
        <f>Sessions[[#This Row],[ProgramCode]] &amp; " – Session " &amp; Sessions[[#This Row],[SessionCode]] &amp; " (Week " &amp; Sessions[[#This Row],[SessionOrder]] &amp; ")"</f>
        <v>10W_SQUAT – Session F (Week 5)</v>
      </c>
      <c r="G97" s="2">
        <v>45980</v>
      </c>
      <c r="H97" s="5" t="s">
        <v>279</v>
      </c>
    </row>
    <row r="98" spans="1:8" x14ac:dyDescent="0.3">
      <c r="A98" t="s">
        <v>868</v>
      </c>
      <c r="B98" s="5" t="str">
        <f>_xlfn.XLOOKUP(Sessions[[#This Row],[ProgramID]], Programs[ProgramID], Programs[ProgramCode], "")</f>
        <v>10W_SQUAT</v>
      </c>
      <c r="C98" s="5" t="s">
        <v>849</v>
      </c>
      <c r="D98" s="5">
        <f t="array" ref="D98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98" s="5" t="str">
        <f>Sessions[[#This Row],[ProgramCode]] &amp; "-" &amp; Sessions[[#This Row],[SessionCode]] &amp; "-" &amp; TEXT(Sessions[[#This Row],[SessionOrder]],"00")</f>
        <v>10W_SQUAT-A-06</v>
      </c>
      <c r="F98" s="5" t="str">
        <f>Sessions[[#This Row],[ProgramCode]] &amp; " – Session " &amp; Sessions[[#This Row],[SessionCode]] &amp; " (Week " &amp; Sessions[[#This Row],[SessionOrder]] &amp; ")"</f>
        <v>10W_SQUAT – Session A (Week 6)</v>
      </c>
      <c r="G98" s="2">
        <v>45981</v>
      </c>
      <c r="H98" s="5" t="s">
        <v>279</v>
      </c>
    </row>
    <row r="99" spans="1:8" x14ac:dyDescent="0.3">
      <c r="A99" t="s">
        <v>868</v>
      </c>
      <c r="B99" s="5" t="str">
        <f>_xlfn.XLOOKUP(Sessions[[#This Row],[ProgramID]], Programs[ProgramID], Programs[ProgramCode], "")</f>
        <v>10W_SQUAT</v>
      </c>
      <c r="C99" s="5" t="s">
        <v>852</v>
      </c>
      <c r="D99" s="5">
        <f t="array" ref="D99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99" s="5" t="str">
        <f>Sessions[[#This Row],[ProgramCode]] &amp; "-" &amp; Sessions[[#This Row],[SessionCode]] &amp; "-" &amp; TEXT(Sessions[[#This Row],[SessionOrder]],"00")</f>
        <v>10W_SQUAT-B-06</v>
      </c>
      <c r="F99" s="5" t="str">
        <f>Sessions[[#This Row],[ProgramCode]] &amp; " – Session " &amp; Sessions[[#This Row],[SessionCode]] &amp; " (Week " &amp; Sessions[[#This Row],[SessionOrder]] &amp; ")"</f>
        <v>10W_SQUAT – Session B (Week 6)</v>
      </c>
      <c r="G99" s="2">
        <v>45982</v>
      </c>
      <c r="H99" s="5" t="s">
        <v>297</v>
      </c>
    </row>
    <row r="100" spans="1:8" x14ac:dyDescent="0.3">
      <c r="A100" t="s">
        <v>868</v>
      </c>
      <c r="B100" s="5" t="str">
        <f>_xlfn.XLOOKUP(Sessions[[#This Row],[ProgramID]], Programs[ProgramID], Programs[ProgramCode], "")</f>
        <v>10W_SQUAT</v>
      </c>
      <c r="C100" s="5" t="s">
        <v>855</v>
      </c>
      <c r="D100" s="5">
        <f t="array" ref="D100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00" s="5" t="str">
        <f>Sessions[[#This Row],[ProgramCode]] &amp; "-" &amp; Sessions[[#This Row],[SessionCode]] &amp; "-" &amp; TEXT(Sessions[[#This Row],[SessionOrder]],"00")</f>
        <v>10W_SQUAT-C-06</v>
      </c>
      <c r="F100" s="5" t="str">
        <f>Sessions[[#This Row],[ProgramCode]] &amp; " – Session " &amp; Sessions[[#This Row],[SessionCode]] &amp; " (Week " &amp; Sessions[[#This Row],[SessionOrder]] &amp; ")"</f>
        <v>10W_SQUAT – Session C (Week 6)</v>
      </c>
      <c r="G100" s="2">
        <v>45983</v>
      </c>
      <c r="H100" s="5" t="s">
        <v>279</v>
      </c>
    </row>
    <row r="101" spans="1:8" x14ac:dyDescent="0.3">
      <c r="A101" t="s">
        <v>868</v>
      </c>
      <c r="B101" s="5" t="str">
        <f>_xlfn.XLOOKUP(Sessions[[#This Row],[ProgramID]], Programs[ProgramID], Programs[ProgramCode], "")</f>
        <v>10W_SQUAT</v>
      </c>
      <c r="C101" s="5" t="s">
        <v>863</v>
      </c>
      <c r="D101" s="5">
        <f t="array" ref="D101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01" s="5" t="str">
        <f>Sessions[[#This Row],[ProgramCode]] &amp; "-" &amp; Sessions[[#This Row],[SessionCode]] &amp; "-" &amp; TEXT(Sessions[[#This Row],[SessionOrder]],"00")</f>
        <v>10W_SQUAT-D-06</v>
      </c>
      <c r="F101" s="5" t="str">
        <f>Sessions[[#This Row],[ProgramCode]] &amp; " – Session " &amp; Sessions[[#This Row],[SessionCode]] &amp; " (Week " &amp; Sessions[[#This Row],[SessionOrder]] &amp; ")"</f>
        <v>10W_SQUAT – Session D (Week 6)</v>
      </c>
      <c r="G101" s="2">
        <v>45984</v>
      </c>
      <c r="H101" s="5" t="s">
        <v>297</v>
      </c>
    </row>
    <row r="102" spans="1:8" x14ac:dyDescent="0.3">
      <c r="A102" t="s">
        <v>868</v>
      </c>
      <c r="B102" s="5" t="str">
        <f>_xlfn.XLOOKUP(Sessions[[#This Row],[ProgramID]], Programs[ProgramID], Programs[ProgramCode], "")</f>
        <v>10W_SQUAT</v>
      </c>
      <c r="C102" s="5" t="s">
        <v>869</v>
      </c>
      <c r="D102" s="5">
        <f t="array" ref="D102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02" s="5" t="str">
        <f>Sessions[[#This Row],[ProgramCode]] &amp; "-" &amp; Sessions[[#This Row],[SessionCode]] &amp; "-" &amp; TEXT(Sessions[[#This Row],[SessionOrder]],"00")</f>
        <v>10W_SQUAT-E-06</v>
      </c>
      <c r="F102" s="5" t="str">
        <f>Sessions[[#This Row],[ProgramCode]] &amp; " – Session " &amp; Sessions[[#This Row],[SessionCode]] &amp; " (Week " &amp; Sessions[[#This Row],[SessionOrder]] &amp; ")"</f>
        <v>10W_SQUAT – Session E (Week 6)</v>
      </c>
      <c r="G102" s="2">
        <v>45985</v>
      </c>
      <c r="H102" s="5" t="s">
        <v>279</v>
      </c>
    </row>
    <row r="103" spans="1:8" x14ac:dyDescent="0.3">
      <c r="A103" t="s">
        <v>868</v>
      </c>
      <c r="B103" s="5" t="str">
        <f>_xlfn.XLOOKUP(Sessions[[#This Row],[ProgramID]], Programs[ProgramID], Programs[ProgramCode], "")</f>
        <v>10W_SQUAT</v>
      </c>
      <c r="C103" s="5" t="s">
        <v>870</v>
      </c>
      <c r="D103" s="5">
        <f t="array" ref="D103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03" s="5" t="str">
        <f>Sessions[[#This Row],[ProgramCode]] &amp; "-" &amp; Sessions[[#This Row],[SessionCode]] &amp; "-" &amp; TEXT(Sessions[[#This Row],[SessionOrder]],"00")</f>
        <v>10W_SQUAT-F-06</v>
      </c>
      <c r="F103" s="5" t="str">
        <f>Sessions[[#This Row],[ProgramCode]] &amp; " – Session " &amp; Sessions[[#This Row],[SessionCode]] &amp; " (Week " &amp; Sessions[[#This Row],[SessionOrder]] &amp; ")"</f>
        <v>10W_SQUAT – Session F (Week 6)</v>
      </c>
      <c r="G103" s="2">
        <v>45986</v>
      </c>
      <c r="H103" s="5" t="s">
        <v>279</v>
      </c>
    </row>
    <row r="104" spans="1:8" x14ac:dyDescent="0.3">
      <c r="A104" t="s">
        <v>868</v>
      </c>
      <c r="B104" s="5" t="str">
        <f>_xlfn.XLOOKUP(Sessions[[#This Row],[ProgramID]], Programs[ProgramID], Programs[ProgramCode], "")</f>
        <v>10W_SQUAT</v>
      </c>
      <c r="C104" s="5" t="s">
        <v>849</v>
      </c>
      <c r="D104" s="5">
        <f t="array" ref="D104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104" s="5" t="str">
        <f>Sessions[[#This Row],[ProgramCode]] &amp; "-" &amp; Sessions[[#This Row],[SessionCode]] &amp; "-" &amp; TEXT(Sessions[[#This Row],[SessionOrder]],"00")</f>
        <v>10W_SQUAT-A-07</v>
      </c>
      <c r="F104" s="5" t="str">
        <f>Sessions[[#This Row],[ProgramCode]] &amp; " – Session " &amp; Sessions[[#This Row],[SessionCode]] &amp; " (Week " &amp; Sessions[[#This Row],[SessionOrder]] &amp; ")"</f>
        <v>10W_SQUAT – Session A (Week 7)</v>
      </c>
      <c r="G104" s="2">
        <v>45987</v>
      </c>
      <c r="H104" s="5" t="s">
        <v>279</v>
      </c>
    </row>
    <row r="105" spans="1:8" x14ac:dyDescent="0.3">
      <c r="A105" t="s">
        <v>868</v>
      </c>
      <c r="B105" s="5" t="str">
        <f>_xlfn.XLOOKUP(Sessions[[#This Row],[ProgramID]], Programs[ProgramID], Programs[ProgramCode], "")</f>
        <v>10W_SQUAT</v>
      </c>
      <c r="C105" s="5" t="s">
        <v>852</v>
      </c>
      <c r="D105" s="5">
        <f t="array" ref="D105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105" s="5" t="str">
        <f>Sessions[[#This Row],[ProgramCode]] &amp; "-" &amp; Sessions[[#This Row],[SessionCode]] &amp; "-" &amp; TEXT(Sessions[[#This Row],[SessionOrder]],"00")</f>
        <v>10W_SQUAT-B-07</v>
      </c>
      <c r="F105" s="5" t="str">
        <f>Sessions[[#This Row],[ProgramCode]] &amp; " – Session " &amp; Sessions[[#This Row],[SessionCode]] &amp; " (Week " &amp; Sessions[[#This Row],[SessionOrder]] &amp; ")"</f>
        <v>10W_SQUAT – Session B (Week 7)</v>
      </c>
      <c r="G105" s="2">
        <v>45988</v>
      </c>
      <c r="H105" s="5" t="s">
        <v>297</v>
      </c>
    </row>
    <row r="106" spans="1:8" x14ac:dyDescent="0.3">
      <c r="A106" t="s">
        <v>868</v>
      </c>
      <c r="B106" s="5" t="str">
        <f>_xlfn.XLOOKUP(Sessions[[#This Row],[ProgramID]], Programs[ProgramID], Programs[ProgramCode], "")</f>
        <v>10W_SQUAT</v>
      </c>
      <c r="C106" s="5" t="s">
        <v>855</v>
      </c>
      <c r="D106" s="5">
        <f t="array" ref="D106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106" s="5" t="str">
        <f>Sessions[[#This Row],[ProgramCode]] &amp; "-" &amp; Sessions[[#This Row],[SessionCode]] &amp; "-" &amp; TEXT(Sessions[[#This Row],[SessionOrder]],"00")</f>
        <v>10W_SQUAT-C-07</v>
      </c>
      <c r="F106" s="5" t="str">
        <f>Sessions[[#This Row],[ProgramCode]] &amp; " – Session " &amp; Sessions[[#This Row],[SessionCode]] &amp; " (Week " &amp; Sessions[[#This Row],[SessionOrder]] &amp; ")"</f>
        <v>10W_SQUAT – Session C (Week 7)</v>
      </c>
      <c r="G106" s="2">
        <v>45989</v>
      </c>
      <c r="H106" s="5" t="s">
        <v>279</v>
      </c>
    </row>
    <row r="107" spans="1:8" x14ac:dyDescent="0.3">
      <c r="A107" t="s">
        <v>868</v>
      </c>
      <c r="B107" s="5" t="str">
        <f>_xlfn.XLOOKUP(Sessions[[#This Row],[ProgramID]], Programs[ProgramID], Programs[ProgramCode], "")</f>
        <v>10W_SQUAT</v>
      </c>
      <c r="C107" s="5" t="s">
        <v>863</v>
      </c>
      <c r="D107" s="5">
        <f t="array" ref="D107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107" s="5" t="str">
        <f>Sessions[[#This Row],[ProgramCode]] &amp; "-" &amp; Sessions[[#This Row],[SessionCode]] &amp; "-" &amp; TEXT(Sessions[[#This Row],[SessionOrder]],"00")</f>
        <v>10W_SQUAT-D-07</v>
      </c>
      <c r="F107" s="5" t="str">
        <f>Sessions[[#This Row],[ProgramCode]] &amp; " – Session " &amp; Sessions[[#This Row],[SessionCode]] &amp; " (Week " &amp; Sessions[[#This Row],[SessionOrder]] &amp; ")"</f>
        <v>10W_SQUAT – Session D (Week 7)</v>
      </c>
      <c r="G107" s="2">
        <v>45990</v>
      </c>
      <c r="H107" s="5" t="s">
        <v>297</v>
      </c>
    </row>
    <row r="108" spans="1:8" x14ac:dyDescent="0.3">
      <c r="A108" t="s">
        <v>868</v>
      </c>
      <c r="B108" s="5" t="str">
        <f>_xlfn.XLOOKUP(Sessions[[#This Row],[ProgramID]], Programs[ProgramID], Programs[ProgramCode], "")</f>
        <v>10W_SQUAT</v>
      </c>
      <c r="C108" s="5" t="s">
        <v>869</v>
      </c>
      <c r="D108" s="5">
        <f t="array" ref="D108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108" s="5" t="str">
        <f>Sessions[[#This Row],[ProgramCode]] &amp; "-" &amp; Sessions[[#This Row],[SessionCode]] &amp; "-" &amp; TEXT(Sessions[[#This Row],[SessionOrder]],"00")</f>
        <v>10W_SQUAT-E-07</v>
      </c>
      <c r="F108" s="5" t="str">
        <f>Sessions[[#This Row],[ProgramCode]] &amp; " – Session " &amp; Sessions[[#This Row],[SessionCode]] &amp; " (Week " &amp; Sessions[[#This Row],[SessionOrder]] &amp; ")"</f>
        <v>10W_SQUAT – Session E (Week 7)</v>
      </c>
      <c r="G108" s="2">
        <v>45991</v>
      </c>
      <c r="H108" s="5" t="s">
        <v>279</v>
      </c>
    </row>
    <row r="109" spans="1:8" x14ac:dyDescent="0.3">
      <c r="A109" t="s">
        <v>868</v>
      </c>
      <c r="B109" s="5" t="str">
        <f>_xlfn.XLOOKUP(Sessions[[#This Row],[ProgramID]], Programs[ProgramID], Programs[ProgramCode], "")</f>
        <v>10W_SQUAT</v>
      </c>
      <c r="C109" s="5" t="s">
        <v>870</v>
      </c>
      <c r="D109" s="5">
        <f t="array" ref="D109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109" s="5" t="str">
        <f>Sessions[[#This Row],[ProgramCode]] &amp; "-" &amp; Sessions[[#This Row],[SessionCode]] &amp; "-" &amp; TEXT(Sessions[[#This Row],[SessionOrder]],"00")</f>
        <v>10W_SQUAT-F-07</v>
      </c>
      <c r="F109" s="5" t="str">
        <f>Sessions[[#This Row],[ProgramCode]] &amp; " – Session " &amp; Sessions[[#This Row],[SessionCode]] &amp; " (Week " &amp; Sessions[[#This Row],[SessionOrder]] &amp; ")"</f>
        <v>10W_SQUAT – Session F (Week 7)</v>
      </c>
      <c r="G109" s="2">
        <v>45992</v>
      </c>
      <c r="H109" s="5" t="s">
        <v>279</v>
      </c>
    </row>
    <row r="110" spans="1:8" x14ac:dyDescent="0.3">
      <c r="A110" t="s">
        <v>868</v>
      </c>
      <c r="B110" s="5" t="str">
        <f>_xlfn.XLOOKUP(Sessions[[#This Row],[ProgramID]], Programs[ProgramID], Programs[ProgramCode], "")</f>
        <v>10W_SQUAT</v>
      </c>
      <c r="C110" s="5" t="s">
        <v>849</v>
      </c>
      <c r="D110" s="5">
        <f t="array" ref="D110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110" s="5" t="str">
        <f>Sessions[[#This Row],[ProgramCode]] &amp; "-" &amp; Sessions[[#This Row],[SessionCode]] &amp; "-" &amp; TEXT(Sessions[[#This Row],[SessionOrder]],"00")</f>
        <v>10W_SQUAT-A-08</v>
      </c>
      <c r="F110" s="5" t="str">
        <f>Sessions[[#This Row],[ProgramCode]] &amp; " – Session " &amp; Sessions[[#This Row],[SessionCode]] &amp; " (Week " &amp; Sessions[[#This Row],[SessionOrder]] &amp; ")"</f>
        <v>10W_SQUAT – Session A (Week 8)</v>
      </c>
      <c r="G110" s="2">
        <v>45993</v>
      </c>
      <c r="H110" s="5" t="s">
        <v>279</v>
      </c>
    </row>
    <row r="111" spans="1:8" x14ac:dyDescent="0.3">
      <c r="A111" t="s">
        <v>868</v>
      </c>
      <c r="B111" s="5" t="str">
        <f>_xlfn.XLOOKUP(Sessions[[#This Row],[ProgramID]], Programs[ProgramID], Programs[ProgramCode], "")</f>
        <v>10W_SQUAT</v>
      </c>
      <c r="C111" s="5" t="s">
        <v>852</v>
      </c>
      <c r="D111" s="5">
        <f t="array" ref="D111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111" s="5" t="str">
        <f>Sessions[[#This Row],[ProgramCode]] &amp; "-" &amp; Sessions[[#This Row],[SessionCode]] &amp; "-" &amp; TEXT(Sessions[[#This Row],[SessionOrder]],"00")</f>
        <v>10W_SQUAT-B-08</v>
      </c>
      <c r="F111" s="5" t="str">
        <f>Sessions[[#This Row],[ProgramCode]] &amp; " – Session " &amp; Sessions[[#This Row],[SessionCode]] &amp; " (Week " &amp; Sessions[[#This Row],[SessionOrder]] &amp; ")"</f>
        <v>10W_SQUAT – Session B (Week 8)</v>
      </c>
      <c r="G111" s="2">
        <v>45994</v>
      </c>
      <c r="H111" s="5" t="s">
        <v>297</v>
      </c>
    </row>
    <row r="112" spans="1:8" x14ac:dyDescent="0.3">
      <c r="A112" t="s">
        <v>868</v>
      </c>
      <c r="B112" s="5" t="str">
        <f>_xlfn.XLOOKUP(Sessions[[#This Row],[ProgramID]], Programs[ProgramID], Programs[ProgramCode], "")</f>
        <v>10W_SQUAT</v>
      </c>
      <c r="C112" s="5" t="s">
        <v>855</v>
      </c>
      <c r="D112" s="5">
        <f t="array" ref="D112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112" s="5" t="str">
        <f>Sessions[[#This Row],[ProgramCode]] &amp; "-" &amp; Sessions[[#This Row],[SessionCode]] &amp; "-" &amp; TEXT(Sessions[[#This Row],[SessionOrder]],"00")</f>
        <v>10W_SQUAT-C-08</v>
      </c>
      <c r="F112" s="5" t="str">
        <f>Sessions[[#This Row],[ProgramCode]] &amp; " – Session " &amp; Sessions[[#This Row],[SessionCode]] &amp; " (Week " &amp; Sessions[[#This Row],[SessionOrder]] &amp; ")"</f>
        <v>10W_SQUAT – Session C (Week 8)</v>
      </c>
      <c r="G112" s="2">
        <v>45995</v>
      </c>
      <c r="H112" s="5" t="s">
        <v>279</v>
      </c>
    </row>
    <row r="113" spans="1:8" x14ac:dyDescent="0.3">
      <c r="A113" t="s">
        <v>868</v>
      </c>
      <c r="B113" s="5" t="str">
        <f>_xlfn.XLOOKUP(Sessions[[#This Row],[ProgramID]], Programs[ProgramID], Programs[ProgramCode], "")</f>
        <v>10W_SQUAT</v>
      </c>
      <c r="C113" s="5" t="s">
        <v>863</v>
      </c>
      <c r="D113" s="5">
        <f t="array" ref="D113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113" s="5" t="str">
        <f>Sessions[[#This Row],[ProgramCode]] &amp; "-" &amp; Sessions[[#This Row],[SessionCode]] &amp; "-" &amp; TEXT(Sessions[[#This Row],[SessionOrder]],"00")</f>
        <v>10W_SQUAT-D-08</v>
      </c>
      <c r="F113" s="5" t="str">
        <f>Sessions[[#This Row],[ProgramCode]] &amp; " – Session " &amp; Sessions[[#This Row],[SessionCode]] &amp; " (Week " &amp; Sessions[[#This Row],[SessionOrder]] &amp; ")"</f>
        <v>10W_SQUAT – Session D (Week 8)</v>
      </c>
      <c r="G113" s="2">
        <v>45996</v>
      </c>
      <c r="H113" s="5" t="s">
        <v>297</v>
      </c>
    </row>
    <row r="114" spans="1:8" x14ac:dyDescent="0.3">
      <c r="A114" t="s">
        <v>868</v>
      </c>
      <c r="B114" s="5" t="str">
        <f>_xlfn.XLOOKUP(Sessions[[#This Row],[ProgramID]], Programs[ProgramID], Programs[ProgramCode], "")</f>
        <v>10W_SQUAT</v>
      </c>
      <c r="C114" s="5" t="s">
        <v>869</v>
      </c>
      <c r="D114" s="5">
        <f t="array" ref="D114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114" s="5" t="str">
        <f>Sessions[[#This Row],[ProgramCode]] &amp; "-" &amp; Sessions[[#This Row],[SessionCode]] &amp; "-" &amp; TEXT(Sessions[[#This Row],[SessionOrder]],"00")</f>
        <v>10W_SQUAT-E-08</v>
      </c>
      <c r="F114" s="5" t="str">
        <f>Sessions[[#This Row],[ProgramCode]] &amp; " – Session " &amp; Sessions[[#This Row],[SessionCode]] &amp; " (Week " &amp; Sessions[[#This Row],[SessionOrder]] &amp; ")"</f>
        <v>10W_SQUAT – Session E (Week 8)</v>
      </c>
      <c r="G114" s="2">
        <v>45997</v>
      </c>
      <c r="H114" s="5" t="s">
        <v>279</v>
      </c>
    </row>
    <row r="115" spans="1:8" x14ac:dyDescent="0.3">
      <c r="A115" t="s">
        <v>868</v>
      </c>
      <c r="B115" s="5" t="str">
        <f>_xlfn.XLOOKUP(Sessions[[#This Row],[ProgramID]], Programs[ProgramID], Programs[ProgramCode], "")</f>
        <v>10W_SQUAT</v>
      </c>
      <c r="C115" s="5" t="s">
        <v>870</v>
      </c>
      <c r="D115" s="5">
        <f t="array" ref="D115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115" s="5" t="str">
        <f>Sessions[[#This Row],[ProgramCode]] &amp; "-" &amp; Sessions[[#This Row],[SessionCode]] &amp; "-" &amp; TEXT(Sessions[[#This Row],[SessionOrder]],"00")</f>
        <v>10W_SQUAT-F-08</v>
      </c>
      <c r="F115" s="5" t="str">
        <f>Sessions[[#This Row],[ProgramCode]] &amp; " – Session " &amp; Sessions[[#This Row],[SessionCode]] &amp; " (Week " &amp; Sessions[[#This Row],[SessionOrder]] &amp; ")"</f>
        <v>10W_SQUAT – Session F (Week 8)</v>
      </c>
      <c r="G115" s="2">
        <v>45998</v>
      </c>
      <c r="H115" s="5" t="s">
        <v>279</v>
      </c>
    </row>
    <row r="116" spans="1:8" x14ac:dyDescent="0.3">
      <c r="A116" t="s">
        <v>868</v>
      </c>
      <c r="B116" s="5" t="str">
        <f>_xlfn.XLOOKUP(Sessions[[#This Row],[ProgramID]], Programs[ProgramID], Programs[ProgramCode], "")</f>
        <v>10W_SQUAT</v>
      </c>
      <c r="C116" s="5" t="s">
        <v>849</v>
      </c>
      <c r="D116" s="5">
        <f t="array" ref="D116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116" s="5" t="str">
        <f>Sessions[[#This Row],[ProgramCode]] &amp; "-" &amp; Sessions[[#This Row],[SessionCode]] &amp; "-" &amp; TEXT(Sessions[[#This Row],[SessionOrder]],"00")</f>
        <v>10W_SQUAT-A-09</v>
      </c>
      <c r="F116" s="5" t="str">
        <f>Sessions[[#This Row],[ProgramCode]] &amp; " – Session " &amp; Sessions[[#This Row],[SessionCode]] &amp; " (Week " &amp; Sessions[[#This Row],[SessionOrder]] &amp; ")"</f>
        <v>10W_SQUAT – Session A (Week 9)</v>
      </c>
      <c r="G116" s="2">
        <v>45999</v>
      </c>
      <c r="H116" s="5" t="s">
        <v>279</v>
      </c>
    </row>
    <row r="117" spans="1:8" x14ac:dyDescent="0.3">
      <c r="A117" t="s">
        <v>868</v>
      </c>
      <c r="B117" s="5" t="str">
        <f>_xlfn.XLOOKUP(Sessions[[#This Row],[ProgramID]], Programs[ProgramID], Programs[ProgramCode], "")</f>
        <v>10W_SQUAT</v>
      </c>
      <c r="C117" s="5" t="s">
        <v>852</v>
      </c>
      <c r="D117" s="5">
        <f t="array" ref="D117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117" s="5" t="str">
        <f>Sessions[[#This Row],[ProgramCode]] &amp; "-" &amp; Sessions[[#This Row],[SessionCode]] &amp; "-" &amp; TEXT(Sessions[[#This Row],[SessionOrder]],"00")</f>
        <v>10W_SQUAT-B-09</v>
      </c>
      <c r="F117" s="5" t="str">
        <f>Sessions[[#This Row],[ProgramCode]] &amp; " – Session " &amp; Sessions[[#This Row],[SessionCode]] &amp; " (Week " &amp; Sessions[[#This Row],[SessionOrder]] &amp; ")"</f>
        <v>10W_SQUAT – Session B (Week 9)</v>
      </c>
      <c r="G117" s="2">
        <v>46000</v>
      </c>
      <c r="H117" s="5" t="s">
        <v>297</v>
      </c>
    </row>
    <row r="118" spans="1:8" x14ac:dyDescent="0.3">
      <c r="A118" t="s">
        <v>868</v>
      </c>
      <c r="B118" s="5" t="str">
        <f>_xlfn.XLOOKUP(Sessions[[#This Row],[ProgramID]], Programs[ProgramID], Programs[ProgramCode], "")</f>
        <v>10W_SQUAT</v>
      </c>
      <c r="C118" s="5" t="s">
        <v>855</v>
      </c>
      <c r="D118" s="5">
        <f t="array" ref="D118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118" s="5" t="str">
        <f>Sessions[[#This Row],[ProgramCode]] &amp; "-" &amp; Sessions[[#This Row],[SessionCode]] &amp; "-" &amp; TEXT(Sessions[[#This Row],[SessionOrder]],"00")</f>
        <v>10W_SQUAT-C-09</v>
      </c>
      <c r="F118" s="5" t="str">
        <f>Sessions[[#This Row],[ProgramCode]] &amp; " – Session " &amp; Sessions[[#This Row],[SessionCode]] &amp; " (Week " &amp; Sessions[[#This Row],[SessionOrder]] &amp; ")"</f>
        <v>10W_SQUAT – Session C (Week 9)</v>
      </c>
      <c r="G118" s="2">
        <v>46001</v>
      </c>
      <c r="H118" s="5" t="s">
        <v>279</v>
      </c>
    </row>
    <row r="119" spans="1:8" x14ac:dyDescent="0.3">
      <c r="A119" t="s">
        <v>868</v>
      </c>
      <c r="B119" s="5" t="str">
        <f>_xlfn.XLOOKUP(Sessions[[#This Row],[ProgramID]], Programs[ProgramID], Programs[ProgramCode], "")</f>
        <v>10W_SQUAT</v>
      </c>
      <c r="C119" s="5" t="s">
        <v>863</v>
      </c>
      <c r="D119" s="5">
        <f t="array" ref="D119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119" s="5" t="str">
        <f>Sessions[[#This Row],[ProgramCode]] &amp; "-" &amp; Sessions[[#This Row],[SessionCode]] &amp; "-" &amp; TEXT(Sessions[[#This Row],[SessionOrder]],"00")</f>
        <v>10W_SQUAT-D-09</v>
      </c>
      <c r="F119" s="5" t="str">
        <f>Sessions[[#This Row],[ProgramCode]] &amp; " – Session " &amp; Sessions[[#This Row],[SessionCode]] &amp; " (Week " &amp; Sessions[[#This Row],[SessionOrder]] &amp; ")"</f>
        <v>10W_SQUAT – Session D (Week 9)</v>
      </c>
      <c r="G119" s="2">
        <v>46002</v>
      </c>
      <c r="H119" s="5" t="s">
        <v>297</v>
      </c>
    </row>
    <row r="120" spans="1:8" x14ac:dyDescent="0.3">
      <c r="A120" t="s">
        <v>868</v>
      </c>
      <c r="B120" s="5" t="str">
        <f>_xlfn.XLOOKUP(Sessions[[#This Row],[ProgramID]], Programs[ProgramID], Programs[ProgramCode], "")</f>
        <v>10W_SQUAT</v>
      </c>
      <c r="C120" s="5" t="s">
        <v>869</v>
      </c>
      <c r="D120" s="5">
        <f t="array" ref="D120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120" s="5" t="str">
        <f>Sessions[[#This Row],[ProgramCode]] &amp; "-" &amp; Sessions[[#This Row],[SessionCode]] &amp; "-" &amp; TEXT(Sessions[[#This Row],[SessionOrder]],"00")</f>
        <v>10W_SQUAT-E-09</v>
      </c>
      <c r="F120" s="5" t="str">
        <f>Sessions[[#This Row],[ProgramCode]] &amp; " – Session " &amp; Sessions[[#This Row],[SessionCode]] &amp; " (Week " &amp; Sessions[[#This Row],[SessionOrder]] &amp; ")"</f>
        <v>10W_SQUAT – Session E (Week 9)</v>
      </c>
      <c r="G120" s="2">
        <v>46003</v>
      </c>
      <c r="H120" s="5" t="s">
        <v>279</v>
      </c>
    </row>
    <row r="121" spans="1:8" x14ac:dyDescent="0.3">
      <c r="A121" t="s">
        <v>868</v>
      </c>
      <c r="B121" s="5" t="str">
        <f>_xlfn.XLOOKUP(Sessions[[#This Row],[ProgramID]], Programs[ProgramID], Programs[ProgramCode], "")</f>
        <v>10W_SQUAT</v>
      </c>
      <c r="C121" s="5" t="s">
        <v>870</v>
      </c>
      <c r="D121" s="5">
        <f t="array" ref="D121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121" s="5" t="str">
        <f>Sessions[[#This Row],[ProgramCode]] &amp; "-" &amp; Sessions[[#This Row],[SessionCode]] &amp; "-" &amp; TEXT(Sessions[[#This Row],[SessionOrder]],"00")</f>
        <v>10W_SQUAT-F-09</v>
      </c>
      <c r="F121" s="5" t="str">
        <f>Sessions[[#This Row],[ProgramCode]] &amp; " – Session " &amp; Sessions[[#This Row],[SessionCode]] &amp; " (Week " &amp; Sessions[[#This Row],[SessionOrder]] &amp; ")"</f>
        <v>10W_SQUAT – Session F (Week 9)</v>
      </c>
      <c r="G121" s="2">
        <v>46004</v>
      </c>
      <c r="H121" s="5" t="s">
        <v>279</v>
      </c>
    </row>
    <row r="122" spans="1:8" x14ac:dyDescent="0.3">
      <c r="A122" t="s">
        <v>868</v>
      </c>
      <c r="B122" s="5" t="str">
        <f>_xlfn.XLOOKUP(Sessions[[#This Row],[ProgramID]], Programs[ProgramID], Programs[ProgramCode], "")</f>
        <v>10W_SQUAT</v>
      </c>
      <c r="C122" s="5" t="s">
        <v>849</v>
      </c>
      <c r="D122" s="5">
        <f t="array" ref="D122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122" s="5" t="str">
        <f>Sessions[[#This Row],[ProgramCode]] &amp; "-" &amp; Sessions[[#This Row],[SessionCode]] &amp; "-" &amp; TEXT(Sessions[[#This Row],[SessionOrder]],"00")</f>
        <v>10W_SQUAT-A-10</v>
      </c>
      <c r="F122" s="5" t="str">
        <f>Sessions[[#This Row],[ProgramCode]] &amp; " – Session " &amp; Sessions[[#This Row],[SessionCode]] &amp; " (Week " &amp; Sessions[[#This Row],[SessionOrder]] &amp; ")"</f>
        <v>10W_SQUAT – Session A (Week 10)</v>
      </c>
      <c r="G122" s="2">
        <v>46005</v>
      </c>
      <c r="H122" s="5" t="s">
        <v>279</v>
      </c>
    </row>
    <row r="123" spans="1:8" x14ac:dyDescent="0.3">
      <c r="A123" t="s">
        <v>868</v>
      </c>
      <c r="B123" s="5" t="str">
        <f>_xlfn.XLOOKUP(Sessions[[#This Row],[ProgramID]], Programs[ProgramID], Programs[ProgramCode], "")</f>
        <v>10W_SQUAT</v>
      </c>
      <c r="C123" s="5" t="s">
        <v>852</v>
      </c>
      <c r="D123" s="5">
        <f t="array" ref="D123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123" s="5" t="str">
        <f>Sessions[[#This Row],[ProgramCode]] &amp; "-" &amp; Sessions[[#This Row],[SessionCode]] &amp; "-" &amp; TEXT(Sessions[[#This Row],[SessionOrder]],"00")</f>
        <v>10W_SQUAT-B-10</v>
      </c>
      <c r="F123" s="5" t="str">
        <f>Sessions[[#This Row],[ProgramCode]] &amp; " – Session " &amp; Sessions[[#This Row],[SessionCode]] &amp; " (Week " &amp; Sessions[[#This Row],[SessionOrder]] &amp; ")"</f>
        <v>10W_SQUAT – Session B (Week 10)</v>
      </c>
      <c r="G123" s="2">
        <v>46006</v>
      </c>
      <c r="H123" s="5" t="s">
        <v>297</v>
      </c>
    </row>
    <row r="124" spans="1:8" x14ac:dyDescent="0.3">
      <c r="A124" t="s">
        <v>868</v>
      </c>
      <c r="B124" s="5" t="str">
        <f>_xlfn.XLOOKUP(Sessions[[#This Row],[ProgramID]], Programs[ProgramID], Programs[ProgramCode], "")</f>
        <v>10W_SQUAT</v>
      </c>
      <c r="C124" s="5" t="s">
        <v>855</v>
      </c>
      <c r="D124" s="5">
        <f t="array" ref="D124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124" s="5" t="str">
        <f>Sessions[[#This Row],[ProgramCode]] &amp; "-" &amp; Sessions[[#This Row],[SessionCode]] &amp; "-" &amp; TEXT(Sessions[[#This Row],[SessionOrder]],"00")</f>
        <v>10W_SQUAT-C-10</v>
      </c>
      <c r="F124" s="5" t="str">
        <f>Sessions[[#This Row],[ProgramCode]] &amp; " – Session " &amp; Sessions[[#This Row],[SessionCode]] &amp; " (Week " &amp; Sessions[[#This Row],[SessionOrder]] &amp; ")"</f>
        <v>10W_SQUAT – Session C (Week 10)</v>
      </c>
      <c r="G124" s="2">
        <v>46007</v>
      </c>
      <c r="H124" s="5" t="s">
        <v>279</v>
      </c>
    </row>
    <row r="125" spans="1:8" x14ac:dyDescent="0.3">
      <c r="A125" t="s">
        <v>868</v>
      </c>
      <c r="B125" s="5" t="str">
        <f>_xlfn.XLOOKUP(Sessions[[#This Row],[ProgramID]], Programs[ProgramID], Programs[ProgramCode], "")</f>
        <v>10W_SQUAT</v>
      </c>
      <c r="C125" s="5" t="s">
        <v>863</v>
      </c>
      <c r="D125" s="5">
        <f t="array" ref="D125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125" s="5" t="str">
        <f>Sessions[[#This Row],[ProgramCode]] &amp; "-" &amp; Sessions[[#This Row],[SessionCode]] &amp; "-" &amp; TEXT(Sessions[[#This Row],[SessionOrder]],"00")</f>
        <v>10W_SQUAT-D-10</v>
      </c>
      <c r="F125" s="5" t="str">
        <f>Sessions[[#This Row],[ProgramCode]] &amp; " – Session " &amp; Sessions[[#This Row],[SessionCode]] &amp; " (Week " &amp; Sessions[[#This Row],[SessionOrder]] &amp; ")"</f>
        <v>10W_SQUAT – Session D (Week 10)</v>
      </c>
      <c r="G125" s="2">
        <v>46008</v>
      </c>
      <c r="H125" s="5" t="s">
        <v>297</v>
      </c>
    </row>
    <row r="126" spans="1:8" x14ac:dyDescent="0.3">
      <c r="A126" t="s">
        <v>868</v>
      </c>
      <c r="B126" s="5" t="str">
        <f>_xlfn.XLOOKUP(Sessions[[#This Row],[ProgramID]], Programs[ProgramID], Programs[ProgramCode], "")</f>
        <v>10W_SQUAT</v>
      </c>
      <c r="C126" s="5" t="s">
        <v>869</v>
      </c>
      <c r="D126" s="5">
        <f t="array" ref="D126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126" s="5" t="str">
        <f>Sessions[[#This Row],[ProgramCode]] &amp; "-" &amp; Sessions[[#This Row],[SessionCode]] &amp; "-" &amp; TEXT(Sessions[[#This Row],[SessionOrder]],"00")</f>
        <v>10W_SQUAT-E-10</v>
      </c>
      <c r="F126" s="5" t="str">
        <f>Sessions[[#This Row],[ProgramCode]] &amp; " – Session " &amp; Sessions[[#This Row],[SessionCode]] &amp; " (Week " &amp; Sessions[[#This Row],[SessionOrder]] &amp; ")"</f>
        <v>10W_SQUAT – Session E (Week 10)</v>
      </c>
      <c r="G126" s="2">
        <v>46009</v>
      </c>
      <c r="H126" s="5" t="s">
        <v>279</v>
      </c>
    </row>
    <row r="127" spans="1:8" x14ac:dyDescent="0.3">
      <c r="A127" t="s">
        <v>868</v>
      </c>
      <c r="B127" s="5" t="str">
        <f>_xlfn.XLOOKUP(Sessions[[#This Row],[ProgramID]], Programs[ProgramID], Programs[ProgramCode], "")</f>
        <v>10W_SQUAT</v>
      </c>
      <c r="C127" s="5" t="s">
        <v>870</v>
      </c>
      <c r="D127" s="5">
        <f t="array" ref="D127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127" s="5" t="str">
        <f>Sessions[[#This Row],[ProgramCode]] &amp; "-" &amp; Sessions[[#This Row],[SessionCode]] &amp; "-" &amp; TEXT(Sessions[[#This Row],[SessionOrder]],"00")</f>
        <v>10W_SQUAT-F-10</v>
      </c>
      <c r="F127" s="5" t="str">
        <f>Sessions[[#This Row],[ProgramCode]] &amp; " – Session " &amp; Sessions[[#This Row],[SessionCode]] &amp; " (Week " &amp; Sessions[[#This Row],[SessionOrder]] &amp; ")"</f>
        <v>10W_SQUAT – Session F (Week 10)</v>
      </c>
      <c r="G127" s="2">
        <v>46010</v>
      </c>
      <c r="H127" s="5" t="s">
        <v>279</v>
      </c>
    </row>
    <row r="128" spans="1:8" x14ac:dyDescent="0.3">
      <c r="A128" t="s">
        <v>1399</v>
      </c>
      <c r="B128" s="5" t="str">
        <f>_xlfn.XLOOKUP(Sessions[[#This Row],[ProgramID]], Programs[ProgramID], Programs[ProgramCode], "")</f>
        <v>BMU-6W</v>
      </c>
      <c r="C128" s="5" t="s">
        <v>849</v>
      </c>
      <c r="D128" s="5" cm="1">
        <f t="array" ref="D128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28" s="5" t="str">
        <f>Sessions[[#This Row],[ProgramCode]] &amp; "-" &amp; Sessions[[#This Row],[SessionCode]] &amp; "-" &amp; TEXT(Sessions[[#This Row],[SessionOrder]],"00")</f>
        <v>BMU-6W-A-01</v>
      </c>
      <c r="F128" s="5" t="str">
        <f>Sessions[[#This Row],[ProgramCode]] &amp; " – Session " &amp; Sessions[[#This Row],[SessionCode]] &amp; " (Week " &amp; Sessions[[#This Row],[SessionOrder]] &amp; ")"</f>
        <v>BMU-6W – Session A (Week 1)</v>
      </c>
      <c r="G128" s="2">
        <v>46000</v>
      </c>
      <c r="H128" s="5" t="s">
        <v>871</v>
      </c>
    </row>
    <row r="129" spans="1:8" x14ac:dyDescent="0.3">
      <c r="A129" t="s">
        <v>1399</v>
      </c>
      <c r="B129" s="5" t="str">
        <f>_xlfn.XLOOKUP(Sessions[[#This Row],[ProgramID]], Programs[ProgramID], Programs[ProgramCode], "")</f>
        <v>BMU-6W</v>
      </c>
      <c r="C129" s="5" t="s">
        <v>852</v>
      </c>
      <c r="D129" s="5" cm="1">
        <f t="array" ref="D129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29" s="5" t="str">
        <f>Sessions[[#This Row],[ProgramCode]] &amp; "-" &amp; Sessions[[#This Row],[SessionCode]] &amp; "-" &amp; TEXT(Sessions[[#This Row],[SessionOrder]],"00")</f>
        <v>BMU-6W-B-01</v>
      </c>
      <c r="F129" s="5" t="str">
        <f>Sessions[[#This Row],[ProgramCode]] &amp; " – Session " &amp; Sessions[[#This Row],[SessionCode]] &amp; " (Week " &amp; Sessions[[#This Row],[SessionOrder]] &amp; ")"</f>
        <v>BMU-6W – Session B (Week 1)</v>
      </c>
      <c r="G129" s="2">
        <v>46002</v>
      </c>
      <c r="H129" s="5" t="s">
        <v>872</v>
      </c>
    </row>
    <row r="130" spans="1:8" x14ac:dyDescent="0.3">
      <c r="A130" t="s">
        <v>1399</v>
      </c>
      <c r="B130" s="5" t="str">
        <f>_xlfn.XLOOKUP(Sessions[[#This Row],[ProgramID]], Programs[ProgramID], Programs[ProgramCode], "")</f>
        <v>BMU-6W</v>
      </c>
      <c r="C130" s="5" t="s">
        <v>855</v>
      </c>
      <c r="D130" s="5" cm="1">
        <f t="array" ref="D130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30" s="5" t="str">
        <f>Sessions[[#This Row],[ProgramCode]] &amp; "-" &amp; Sessions[[#This Row],[SessionCode]] &amp; "-" &amp; TEXT(Sessions[[#This Row],[SessionOrder]],"00")</f>
        <v>BMU-6W-C-01</v>
      </c>
      <c r="F130" s="5" t="str">
        <f>Sessions[[#This Row],[ProgramCode]] &amp; " – Session " &amp; Sessions[[#This Row],[SessionCode]] &amp; " (Week " &amp; Sessions[[#This Row],[SessionOrder]] &amp; ")"</f>
        <v>BMU-6W – Session C (Week 1)</v>
      </c>
      <c r="G130" s="2">
        <v>46004</v>
      </c>
      <c r="H130" s="5" t="s">
        <v>873</v>
      </c>
    </row>
    <row r="131" spans="1:8" x14ac:dyDescent="0.3">
      <c r="A131" t="s">
        <v>1399</v>
      </c>
      <c r="B131" s="5" t="str">
        <f>_xlfn.XLOOKUP(Sessions[[#This Row],[ProgramID]], Programs[ProgramID], Programs[ProgramCode], "")</f>
        <v>BMU-6W</v>
      </c>
      <c r="C131" s="5" t="s">
        <v>849</v>
      </c>
      <c r="D131" s="5" cm="1">
        <f t="array" ref="D131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31" s="5" t="str">
        <f>Sessions[[#This Row],[ProgramCode]] &amp; "-" &amp; Sessions[[#This Row],[SessionCode]] &amp; "-" &amp; TEXT(Sessions[[#This Row],[SessionOrder]],"00")</f>
        <v>BMU-6W-A-02</v>
      </c>
      <c r="F131" s="5" t="str">
        <f>Sessions[[#This Row],[ProgramCode]] &amp; " – Session " &amp; Sessions[[#This Row],[SessionCode]] &amp; " (Week " &amp; Sessions[[#This Row],[SessionOrder]] &amp; ")"</f>
        <v>BMU-6W – Session A (Week 2)</v>
      </c>
      <c r="G131" s="2">
        <v>46007</v>
      </c>
      <c r="H131" s="5" t="s">
        <v>871</v>
      </c>
    </row>
    <row r="132" spans="1:8" x14ac:dyDescent="0.3">
      <c r="A132" t="s">
        <v>1399</v>
      </c>
      <c r="B132" s="5" t="str">
        <f>_xlfn.XLOOKUP(Sessions[[#This Row],[ProgramID]], Programs[ProgramID], Programs[ProgramCode], "")</f>
        <v>BMU-6W</v>
      </c>
      <c r="C132" s="5" t="s">
        <v>852</v>
      </c>
      <c r="D132" s="5" cm="1">
        <f t="array" ref="D132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32" s="5" t="str">
        <f>Sessions[[#This Row],[ProgramCode]] &amp; "-" &amp; Sessions[[#This Row],[SessionCode]] &amp; "-" &amp; TEXT(Sessions[[#This Row],[SessionOrder]],"00")</f>
        <v>BMU-6W-B-02</v>
      </c>
      <c r="F132" s="5" t="str">
        <f>Sessions[[#This Row],[ProgramCode]] &amp; " – Session " &amp; Sessions[[#This Row],[SessionCode]] &amp; " (Week " &amp; Sessions[[#This Row],[SessionOrder]] &amp; ")"</f>
        <v>BMU-6W – Session B (Week 2)</v>
      </c>
      <c r="G132" s="2">
        <v>46009</v>
      </c>
      <c r="H132" s="5" t="s">
        <v>872</v>
      </c>
    </row>
    <row r="133" spans="1:8" x14ac:dyDescent="0.3">
      <c r="A133" t="s">
        <v>1399</v>
      </c>
      <c r="B133" s="5" t="str">
        <f>_xlfn.XLOOKUP(Sessions[[#This Row],[ProgramID]], Programs[ProgramID], Programs[ProgramCode], "")</f>
        <v>BMU-6W</v>
      </c>
      <c r="C133" s="5" t="s">
        <v>855</v>
      </c>
      <c r="D133" s="5" cm="1">
        <f t="array" ref="D133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33" s="5" t="str">
        <f>Sessions[[#This Row],[ProgramCode]] &amp; "-" &amp; Sessions[[#This Row],[SessionCode]] &amp; "-" &amp; TEXT(Sessions[[#This Row],[SessionOrder]],"00")</f>
        <v>BMU-6W-C-02</v>
      </c>
      <c r="F133" s="5" t="str">
        <f>Sessions[[#This Row],[ProgramCode]] &amp; " – Session " &amp; Sessions[[#This Row],[SessionCode]] &amp; " (Week " &amp; Sessions[[#This Row],[SessionOrder]] &amp; ")"</f>
        <v>BMU-6W – Session C (Week 2)</v>
      </c>
      <c r="G133" s="2">
        <v>46011</v>
      </c>
      <c r="H133" s="5" t="s">
        <v>873</v>
      </c>
    </row>
    <row r="134" spans="1:8" x14ac:dyDescent="0.3">
      <c r="A134" t="s">
        <v>1399</v>
      </c>
      <c r="B134" s="5" t="str">
        <f>_xlfn.XLOOKUP(Sessions[[#This Row],[ProgramID]], Programs[ProgramID], Programs[ProgramCode], "")</f>
        <v>BMU-6W</v>
      </c>
      <c r="C134" s="5" t="s">
        <v>849</v>
      </c>
      <c r="D134" s="5" cm="1">
        <f t="array" ref="D134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34" s="5" t="str">
        <f>Sessions[[#This Row],[ProgramCode]] &amp; "-" &amp; Sessions[[#This Row],[SessionCode]] &amp; "-" &amp; TEXT(Sessions[[#This Row],[SessionOrder]],"00")</f>
        <v>BMU-6W-A-03</v>
      </c>
      <c r="F134" s="5" t="str">
        <f>Sessions[[#This Row],[ProgramCode]] &amp; " – Session " &amp; Sessions[[#This Row],[SessionCode]] &amp; " (Week " &amp; Sessions[[#This Row],[SessionOrder]] &amp; ")"</f>
        <v>BMU-6W – Session A (Week 3)</v>
      </c>
      <c r="G134" s="2">
        <v>46014</v>
      </c>
      <c r="H134" s="5" t="s">
        <v>871</v>
      </c>
    </row>
    <row r="135" spans="1:8" x14ac:dyDescent="0.3">
      <c r="A135" t="s">
        <v>1399</v>
      </c>
      <c r="B135" s="5" t="str">
        <f>_xlfn.XLOOKUP(Sessions[[#This Row],[ProgramID]], Programs[ProgramID], Programs[ProgramCode], "")</f>
        <v>BMU-6W</v>
      </c>
      <c r="C135" s="5" t="s">
        <v>852</v>
      </c>
      <c r="D135" s="5" cm="1">
        <f t="array" ref="D135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35" s="5" t="str">
        <f>Sessions[[#This Row],[ProgramCode]] &amp; "-" &amp; Sessions[[#This Row],[SessionCode]] &amp; "-" &amp; TEXT(Sessions[[#This Row],[SessionOrder]],"00")</f>
        <v>BMU-6W-B-03</v>
      </c>
      <c r="F135" s="5" t="str">
        <f>Sessions[[#This Row],[ProgramCode]] &amp; " – Session " &amp; Sessions[[#This Row],[SessionCode]] &amp; " (Week " &amp; Sessions[[#This Row],[SessionOrder]] &amp; ")"</f>
        <v>BMU-6W – Session B (Week 3)</v>
      </c>
      <c r="G135" s="2">
        <v>46016</v>
      </c>
      <c r="H135" s="5" t="s">
        <v>872</v>
      </c>
    </row>
    <row r="136" spans="1:8" x14ac:dyDescent="0.3">
      <c r="A136" t="s">
        <v>1399</v>
      </c>
      <c r="B136" s="5" t="str">
        <f>_xlfn.XLOOKUP(Sessions[[#This Row],[ProgramID]], Programs[ProgramID], Programs[ProgramCode], "")</f>
        <v>BMU-6W</v>
      </c>
      <c r="C136" s="5" t="s">
        <v>855</v>
      </c>
      <c r="D136" s="5" cm="1">
        <f t="array" ref="D136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36" s="5" t="str">
        <f>Sessions[[#This Row],[ProgramCode]] &amp; "-" &amp; Sessions[[#This Row],[SessionCode]] &amp; "-" &amp; TEXT(Sessions[[#This Row],[SessionOrder]],"00")</f>
        <v>BMU-6W-C-03</v>
      </c>
      <c r="F136" s="5" t="str">
        <f>Sessions[[#This Row],[ProgramCode]] &amp; " – Session " &amp; Sessions[[#This Row],[SessionCode]] &amp; " (Week " &amp; Sessions[[#This Row],[SessionOrder]] &amp; ")"</f>
        <v>BMU-6W – Session C (Week 3)</v>
      </c>
      <c r="G136" s="2">
        <v>46018</v>
      </c>
      <c r="H136" s="5" t="s">
        <v>873</v>
      </c>
    </row>
    <row r="137" spans="1:8" x14ac:dyDescent="0.3">
      <c r="A137" t="s">
        <v>1399</v>
      </c>
      <c r="B137" s="5" t="str">
        <f>_xlfn.XLOOKUP(Sessions[[#This Row],[ProgramID]], Programs[ProgramID], Programs[ProgramCode], "")</f>
        <v>BMU-6W</v>
      </c>
      <c r="C137" s="5" t="s">
        <v>849</v>
      </c>
      <c r="D137" s="5" cm="1">
        <f t="array" ref="D137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37" s="5" t="str">
        <f>Sessions[[#This Row],[ProgramCode]] &amp; "-" &amp; Sessions[[#This Row],[SessionCode]] &amp; "-" &amp; TEXT(Sessions[[#This Row],[SessionOrder]],"00")</f>
        <v>BMU-6W-A-04</v>
      </c>
      <c r="F137" s="5" t="str">
        <f>Sessions[[#This Row],[ProgramCode]] &amp; " – Session " &amp; Sessions[[#This Row],[SessionCode]] &amp; " (Week " &amp; Sessions[[#This Row],[SessionOrder]] &amp; ")"</f>
        <v>BMU-6W – Session A (Week 4)</v>
      </c>
      <c r="G137" s="2">
        <v>46021</v>
      </c>
      <c r="H137" s="5" t="s">
        <v>871</v>
      </c>
    </row>
    <row r="138" spans="1:8" x14ac:dyDescent="0.3">
      <c r="A138" t="s">
        <v>1399</v>
      </c>
      <c r="B138" s="5" t="str">
        <f>_xlfn.XLOOKUP(Sessions[[#This Row],[ProgramID]], Programs[ProgramID], Programs[ProgramCode], "")</f>
        <v>BMU-6W</v>
      </c>
      <c r="C138" s="5" t="s">
        <v>852</v>
      </c>
      <c r="D138" s="5" cm="1">
        <f t="array" ref="D138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38" s="5" t="str">
        <f>Sessions[[#This Row],[ProgramCode]] &amp; "-" &amp; Sessions[[#This Row],[SessionCode]] &amp; "-" &amp; TEXT(Sessions[[#This Row],[SessionOrder]],"00")</f>
        <v>BMU-6W-B-04</v>
      </c>
      <c r="F138" s="5" t="str">
        <f>Sessions[[#This Row],[ProgramCode]] &amp; " – Session " &amp; Sessions[[#This Row],[SessionCode]] &amp; " (Week " &amp; Sessions[[#This Row],[SessionOrder]] &amp; ")"</f>
        <v>BMU-6W – Session B (Week 4)</v>
      </c>
      <c r="G138" s="2">
        <v>46023</v>
      </c>
      <c r="H138" s="5" t="s">
        <v>872</v>
      </c>
    </row>
    <row r="139" spans="1:8" x14ac:dyDescent="0.3">
      <c r="A139" t="s">
        <v>1399</v>
      </c>
      <c r="B139" s="5" t="str">
        <f>_xlfn.XLOOKUP(Sessions[[#This Row],[ProgramID]], Programs[ProgramID], Programs[ProgramCode], "")</f>
        <v>BMU-6W</v>
      </c>
      <c r="C139" s="5" t="s">
        <v>855</v>
      </c>
      <c r="D139" s="5" cm="1">
        <f t="array" ref="D139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39" s="5" t="str">
        <f>Sessions[[#This Row],[ProgramCode]] &amp; "-" &amp; Sessions[[#This Row],[SessionCode]] &amp; "-" &amp; TEXT(Sessions[[#This Row],[SessionOrder]],"00")</f>
        <v>BMU-6W-C-04</v>
      </c>
      <c r="F139" s="5" t="str">
        <f>Sessions[[#This Row],[ProgramCode]] &amp; " – Session " &amp; Sessions[[#This Row],[SessionCode]] &amp; " (Week " &amp; Sessions[[#This Row],[SessionOrder]] &amp; ")"</f>
        <v>BMU-6W – Session C (Week 4)</v>
      </c>
      <c r="G139" s="2">
        <v>46025</v>
      </c>
      <c r="H139" s="5" t="s">
        <v>873</v>
      </c>
    </row>
    <row r="140" spans="1:8" x14ac:dyDescent="0.3">
      <c r="A140" t="s">
        <v>1399</v>
      </c>
      <c r="B140" s="5" t="str">
        <f>_xlfn.XLOOKUP(Sessions[[#This Row],[ProgramID]], Programs[ProgramID], Programs[ProgramCode], "")</f>
        <v>BMU-6W</v>
      </c>
      <c r="C140" s="5" t="s">
        <v>849</v>
      </c>
      <c r="D140" s="5" cm="1">
        <f t="array" ref="D140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40" s="5" t="str">
        <f>Sessions[[#This Row],[ProgramCode]] &amp; "-" &amp; Sessions[[#This Row],[SessionCode]] &amp; "-" &amp; TEXT(Sessions[[#This Row],[SessionOrder]],"00")</f>
        <v>BMU-6W-A-05</v>
      </c>
      <c r="F140" s="5" t="str">
        <f>Sessions[[#This Row],[ProgramCode]] &amp; " – Session " &amp; Sessions[[#This Row],[SessionCode]] &amp; " (Week " &amp; Sessions[[#This Row],[SessionOrder]] &amp; ")"</f>
        <v>BMU-6W – Session A (Week 5)</v>
      </c>
      <c r="G140" s="2">
        <v>46028</v>
      </c>
      <c r="H140" s="5" t="s">
        <v>871</v>
      </c>
    </row>
    <row r="141" spans="1:8" x14ac:dyDescent="0.3">
      <c r="A141" t="s">
        <v>1399</v>
      </c>
      <c r="B141" s="5" t="str">
        <f>_xlfn.XLOOKUP(Sessions[[#This Row],[ProgramID]], Programs[ProgramID], Programs[ProgramCode], "")</f>
        <v>BMU-6W</v>
      </c>
      <c r="C141" s="5" t="s">
        <v>852</v>
      </c>
      <c r="D141" s="5" cm="1">
        <f t="array" ref="D141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41" s="5" t="str">
        <f>Sessions[[#This Row],[ProgramCode]] &amp; "-" &amp; Sessions[[#This Row],[SessionCode]] &amp; "-" &amp; TEXT(Sessions[[#This Row],[SessionOrder]],"00")</f>
        <v>BMU-6W-B-05</v>
      </c>
      <c r="F141" s="5" t="str">
        <f>Sessions[[#This Row],[ProgramCode]] &amp; " – Session " &amp; Sessions[[#This Row],[SessionCode]] &amp; " (Week " &amp; Sessions[[#This Row],[SessionOrder]] &amp; ")"</f>
        <v>BMU-6W – Session B (Week 5)</v>
      </c>
      <c r="G141" s="2">
        <v>46030</v>
      </c>
      <c r="H141" s="5" t="s">
        <v>872</v>
      </c>
    </row>
    <row r="142" spans="1:8" x14ac:dyDescent="0.3">
      <c r="A142" t="s">
        <v>1399</v>
      </c>
      <c r="B142" s="5" t="str">
        <f>_xlfn.XLOOKUP(Sessions[[#This Row],[ProgramID]], Programs[ProgramID], Programs[ProgramCode], "")</f>
        <v>BMU-6W</v>
      </c>
      <c r="C142" s="5" t="s">
        <v>855</v>
      </c>
      <c r="D142" s="5" cm="1">
        <f t="array" ref="D142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42" s="5" t="str">
        <f>Sessions[[#This Row],[ProgramCode]] &amp; "-" &amp; Sessions[[#This Row],[SessionCode]] &amp; "-" &amp; TEXT(Sessions[[#This Row],[SessionOrder]],"00")</f>
        <v>BMU-6W-C-05</v>
      </c>
      <c r="F142" s="5" t="str">
        <f>Sessions[[#This Row],[ProgramCode]] &amp; " – Session " &amp; Sessions[[#This Row],[SessionCode]] &amp; " (Week " &amp; Sessions[[#This Row],[SessionOrder]] &amp; ")"</f>
        <v>BMU-6W – Session C (Week 5)</v>
      </c>
      <c r="G142" s="2">
        <v>46032</v>
      </c>
      <c r="H142" s="5" t="s">
        <v>873</v>
      </c>
    </row>
    <row r="143" spans="1:8" x14ac:dyDescent="0.3">
      <c r="A143" t="s">
        <v>1399</v>
      </c>
      <c r="B143" s="5" t="str">
        <f>_xlfn.XLOOKUP(Sessions[[#This Row],[ProgramID]], Programs[ProgramID], Programs[ProgramCode], "")</f>
        <v>BMU-6W</v>
      </c>
      <c r="C143" s="5" t="s">
        <v>849</v>
      </c>
      <c r="D143" s="5" cm="1">
        <f t="array" ref="D143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43" s="5" t="str">
        <f>Sessions[[#This Row],[ProgramCode]] &amp; "-" &amp; Sessions[[#This Row],[SessionCode]] &amp; "-" &amp; TEXT(Sessions[[#This Row],[SessionOrder]],"00")</f>
        <v>BMU-6W-A-06</v>
      </c>
      <c r="F143" s="5" t="str">
        <f>Sessions[[#This Row],[ProgramCode]] &amp; " – Session " &amp; Sessions[[#This Row],[SessionCode]] &amp; " (Week " &amp; Sessions[[#This Row],[SessionOrder]] &amp; ")"</f>
        <v>BMU-6W – Session A (Week 6)</v>
      </c>
      <c r="G143" s="2">
        <v>46035</v>
      </c>
      <c r="H143" s="5" t="s">
        <v>871</v>
      </c>
    </row>
    <row r="144" spans="1:8" x14ac:dyDescent="0.3">
      <c r="A144" t="s">
        <v>1399</v>
      </c>
      <c r="B144" s="5" t="str">
        <f>_xlfn.XLOOKUP(Sessions[[#This Row],[ProgramID]], Programs[ProgramID], Programs[ProgramCode], "")</f>
        <v>BMU-6W</v>
      </c>
      <c r="C144" s="5" t="s">
        <v>852</v>
      </c>
      <c r="D144" s="5" cm="1">
        <f t="array" ref="D144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44" s="5" t="str">
        <f>Sessions[[#This Row],[ProgramCode]] &amp; "-" &amp; Sessions[[#This Row],[SessionCode]] &amp; "-" &amp; TEXT(Sessions[[#This Row],[SessionOrder]],"00")</f>
        <v>BMU-6W-B-06</v>
      </c>
      <c r="F144" s="5" t="str">
        <f>Sessions[[#This Row],[ProgramCode]] &amp; " – Session " &amp; Sessions[[#This Row],[SessionCode]] &amp; " (Week " &amp; Sessions[[#This Row],[SessionOrder]] &amp; ")"</f>
        <v>BMU-6W – Session B (Week 6)</v>
      </c>
      <c r="G144" s="2">
        <v>46037</v>
      </c>
      <c r="H144" s="5" t="s">
        <v>872</v>
      </c>
    </row>
    <row r="145" spans="1:8" x14ac:dyDescent="0.3">
      <c r="A145" t="s">
        <v>1399</v>
      </c>
      <c r="B145" s="5" t="str">
        <f>_xlfn.XLOOKUP(Sessions[[#This Row],[ProgramID]], Programs[ProgramID], Programs[ProgramCode], "")</f>
        <v>BMU-6W</v>
      </c>
      <c r="C145" s="5" t="s">
        <v>855</v>
      </c>
      <c r="D145" s="5" cm="1">
        <f t="array" ref="D145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145" s="5" t="str">
        <f>Sessions[[#This Row],[ProgramCode]] &amp; "-" &amp; Sessions[[#This Row],[SessionCode]] &amp; "-" &amp; TEXT(Sessions[[#This Row],[SessionOrder]],"00")</f>
        <v>BMU-6W-C-06</v>
      </c>
      <c r="F145" s="5" t="str">
        <f>Sessions[[#This Row],[ProgramCode]] &amp; " – Session " &amp; Sessions[[#This Row],[SessionCode]] &amp; " (Week " &amp; Sessions[[#This Row],[SessionOrder]] &amp; ")"</f>
        <v>BMU-6W – Session C (Week 6)</v>
      </c>
      <c r="G145" s="2">
        <v>46039</v>
      </c>
      <c r="H145" s="5" t="s">
        <v>873</v>
      </c>
    </row>
    <row r="146" spans="1:8" x14ac:dyDescent="0.3">
      <c r="A146" t="s">
        <v>874</v>
      </c>
      <c r="B146" s="5" t="str">
        <f>_xlfn.XLOOKUP(Sessions[[#This Row],[ProgramID]], Programs[ProgramID], Programs[ProgramCode], "")</f>
        <v>WG_4W_A</v>
      </c>
      <c r="C146" s="5" t="s">
        <v>849</v>
      </c>
      <c r="D146" s="5" cm="1">
        <f t="array" ref="D146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46" s="5" t="str">
        <f>Sessions[[#This Row],[ProgramCode]] &amp; "-" &amp; Sessions[[#This Row],[SessionCode]] &amp; "-" &amp; TEXT(Sessions[[#This Row],[SessionOrder]],"00")</f>
        <v>WG_4W_A-A-01</v>
      </c>
      <c r="F146" s="5" t="str">
        <f>Sessions[[#This Row],[ProgramCode]] &amp; " – Session " &amp; Sessions[[#This Row],[SessionCode]] &amp; " (Week " &amp; Sessions[[#This Row],[SessionOrder]] &amp; ")"</f>
        <v>WG_4W_A – Session A (Week 1)</v>
      </c>
      <c r="G146" s="2">
        <v>46113</v>
      </c>
      <c r="H146" s="5" t="s">
        <v>299</v>
      </c>
    </row>
    <row r="147" spans="1:8" x14ac:dyDescent="0.3">
      <c r="A147" t="s">
        <v>874</v>
      </c>
      <c r="B147" s="5" t="str">
        <f>_xlfn.XLOOKUP(Sessions[[#This Row],[ProgramID]], Programs[ProgramID], Programs[ProgramCode], "")</f>
        <v>WG_4W_A</v>
      </c>
      <c r="C147" s="5" t="s">
        <v>852</v>
      </c>
      <c r="D147" s="5" cm="1">
        <f t="array" ref="D147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47" s="5" t="str">
        <f>Sessions[[#This Row],[ProgramCode]] &amp; "-" &amp; Sessions[[#This Row],[SessionCode]] &amp; "-" &amp; TEXT(Sessions[[#This Row],[SessionOrder]],"00")</f>
        <v>WG_4W_A-B-01</v>
      </c>
      <c r="F147" s="5" t="str">
        <f>Sessions[[#This Row],[ProgramCode]] &amp; " – Session " &amp; Sessions[[#This Row],[SessionCode]] &amp; " (Week " &amp; Sessions[[#This Row],[SessionOrder]] &amp; ")"</f>
        <v>WG_4W_A – Session B (Week 1)</v>
      </c>
      <c r="G147" s="2">
        <v>46114</v>
      </c>
      <c r="H147" s="5" t="s">
        <v>861</v>
      </c>
    </row>
    <row r="148" spans="1:8" x14ac:dyDescent="0.3">
      <c r="A148" t="s">
        <v>874</v>
      </c>
      <c r="B148" s="5" t="str">
        <f>_xlfn.XLOOKUP(Sessions[[#This Row],[ProgramID]], Programs[ProgramID], Programs[ProgramCode], "")</f>
        <v>WG_4W_A</v>
      </c>
      <c r="C148" s="5" t="s">
        <v>855</v>
      </c>
      <c r="D148" s="5" cm="1">
        <f t="array" ref="D148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48" s="5" t="str">
        <f>Sessions[[#This Row],[ProgramCode]] &amp; "-" &amp; Sessions[[#This Row],[SessionCode]] &amp; "-" &amp; TEXT(Sessions[[#This Row],[SessionOrder]],"00")</f>
        <v>WG_4W_A-C-01</v>
      </c>
      <c r="F148" s="5" t="str">
        <f>Sessions[[#This Row],[ProgramCode]] &amp; " – Session " &amp; Sessions[[#This Row],[SessionCode]] &amp; " (Week " &amp; Sessions[[#This Row],[SessionOrder]] &amp; ")"</f>
        <v>WG_4W_A – Session C (Week 1)</v>
      </c>
      <c r="G148" s="2">
        <v>46115</v>
      </c>
      <c r="H148" s="5" t="s">
        <v>163</v>
      </c>
    </row>
    <row r="149" spans="1:8" x14ac:dyDescent="0.3">
      <c r="A149" t="s">
        <v>874</v>
      </c>
      <c r="B149" s="5" t="str">
        <f>_xlfn.XLOOKUP(Sessions[[#This Row],[ProgramID]], Programs[ProgramID], Programs[ProgramCode], "")</f>
        <v>WG_4W_A</v>
      </c>
      <c r="C149" s="5" t="s">
        <v>863</v>
      </c>
      <c r="D149" s="5" cm="1">
        <f t="array" ref="D149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49" s="5" t="str">
        <f>Sessions[[#This Row],[ProgramCode]] &amp; "-" &amp; Sessions[[#This Row],[SessionCode]] &amp; "-" &amp; TEXT(Sessions[[#This Row],[SessionOrder]],"00")</f>
        <v>WG_4W_A-D-01</v>
      </c>
      <c r="F149" s="5" t="str">
        <f>Sessions[[#This Row],[ProgramCode]] &amp; " – Session " &amp; Sessions[[#This Row],[SessionCode]] &amp; " (Week " &amp; Sessions[[#This Row],[SessionOrder]] &amp; ")"</f>
        <v>WG_4W_A – Session D (Week 1)</v>
      </c>
      <c r="G149" s="2">
        <v>46116</v>
      </c>
      <c r="H149" s="5" t="s">
        <v>271</v>
      </c>
    </row>
    <row r="150" spans="1:8" x14ac:dyDescent="0.3">
      <c r="A150" t="s">
        <v>874</v>
      </c>
      <c r="B150" s="5" t="str">
        <f>_xlfn.XLOOKUP(Sessions[[#This Row],[ProgramID]], Programs[ProgramID], Programs[ProgramCode], "")</f>
        <v>WG_4W_A</v>
      </c>
      <c r="C150" s="5" t="s">
        <v>869</v>
      </c>
      <c r="D150" s="5" cm="1">
        <f t="array" ref="D150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50" s="5" t="str">
        <f>Sessions[[#This Row],[ProgramCode]] &amp; "-" &amp; Sessions[[#This Row],[SessionCode]] &amp; "-" &amp; TEXT(Sessions[[#This Row],[SessionOrder]],"00")</f>
        <v>WG_4W_A-E-01</v>
      </c>
      <c r="F150" s="5" t="str">
        <f>Sessions[[#This Row],[ProgramCode]] &amp; " – Session " &amp; Sessions[[#This Row],[SessionCode]] &amp; " (Week " &amp; Sessions[[#This Row],[SessionOrder]] &amp; ")"</f>
        <v>WG_4W_A – Session E (Week 1)</v>
      </c>
      <c r="G150" s="2">
        <v>46117</v>
      </c>
      <c r="H150" s="5" t="s">
        <v>165</v>
      </c>
    </row>
    <row r="151" spans="1:8" x14ac:dyDescent="0.3">
      <c r="A151" t="s">
        <v>874</v>
      </c>
      <c r="B151" s="5" t="str">
        <f>_xlfn.XLOOKUP(Sessions[[#This Row],[ProgramID]], Programs[ProgramID], Programs[ProgramCode], "")</f>
        <v>WG_4W_A</v>
      </c>
      <c r="C151" s="5" t="s">
        <v>849</v>
      </c>
      <c r="D151" s="5" cm="1">
        <f t="array" ref="D151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51" s="5" t="str">
        <f>Sessions[[#This Row],[ProgramCode]] &amp; "-" &amp; Sessions[[#This Row],[SessionCode]] &amp; "-" &amp; TEXT(Sessions[[#This Row],[SessionOrder]],"00")</f>
        <v>WG_4W_A-A-02</v>
      </c>
      <c r="F151" s="5" t="str">
        <f>Sessions[[#This Row],[ProgramCode]] &amp; " – Session " &amp; Sessions[[#This Row],[SessionCode]] &amp; " (Week " &amp; Sessions[[#This Row],[SessionOrder]] &amp; ")"</f>
        <v>WG_4W_A – Session A (Week 2)</v>
      </c>
      <c r="G151" s="2">
        <v>46118</v>
      </c>
      <c r="H151" s="5" t="s">
        <v>299</v>
      </c>
    </row>
    <row r="152" spans="1:8" x14ac:dyDescent="0.3">
      <c r="A152" t="s">
        <v>874</v>
      </c>
      <c r="B152" s="5" t="str">
        <f>_xlfn.XLOOKUP(Sessions[[#This Row],[ProgramID]], Programs[ProgramID], Programs[ProgramCode], "")</f>
        <v>WG_4W_A</v>
      </c>
      <c r="C152" s="5" t="s">
        <v>852</v>
      </c>
      <c r="D152" s="5" cm="1">
        <f t="array" ref="D152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52" s="5" t="str">
        <f>Sessions[[#This Row],[ProgramCode]] &amp; "-" &amp; Sessions[[#This Row],[SessionCode]] &amp; "-" &amp; TEXT(Sessions[[#This Row],[SessionOrder]],"00")</f>
        <v>WG_4W_A-B-02</v>
      </c>
      <c r="F152" s="5" t="str">
        <f>Sessions[[#This Row],[ProgramCode]] &amp; " – Session " &amp; Sessions[[#This Row],[SessionCode]] &amp; " (Week " &amp; Sessions[[#This Row],[SessionOrder]] &amp; ")"</f>
        <v>WG_4W_A – Session B (Week 2)</v>
      </c>
      <c r="G152" s="2">
        <v>46119</v>
      </c>
      <c r="H152" s="5" t="s">
        <v>861</v>
      </c>
    </row>
    <row r="153" spans="1:8" x14ac:dyDescent="0.3">
      <c r="A153" t="s">
        <v>874</v>
      </c>
      <c r="B153" s="5" t="str">
        <f>_xlfn.XLOOKUP(Sessions[[#This Row],[ProgramID]], Programs[ProgramID], Programs[ProgramCode], "")</f>
        <v>WG_4W_A</v>
      </c>
      <c r="C153" s="5" t="s">
        <v>855</v>
      </c>
      <c r="D153" s="5" cm="1">
        <f t="array" ref="D153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53" s="5" t="str">
        <f>Sessions[[#This Row],[ProgramCode]] &amp; "-" &amp; Sessions[[#This Row],[SessionCode]] &amp; "-" &amp; TEXT(Sessions[[#This Row],[SessionOrder]],"00")</f>
        <v>WG_4W_A-C-02</v>
      </c>
      <c r="F153" s="5" t="str">
        <f>Sessions[[#This Row],[ProgramCode]] &amp; " – Session " &amp; Sessions[[#This Row],[SessionCode]] &amp; " (Week " &amp; Sessions[[#This Row],[SessionOrder]] &amp; ")"</f>
        <v>WG_4W_A – Session C (Week 2)</v>
      </c>
      <c r="G153" s="2">
        <v>46120</v>
      </c>
      <c r="H153" s="5" t="s">
        <v>163</v>
      </c>
    </row>
    <row r="154" spans="1:8" x14ac:dyDescent="0.3">
      <c r="A154" t="s">
        <v>874</v>
      </c>
      <c r="B154" s="5" t="str">
        <f>_xlfn.XLOOKUP(Sessions[[#This Row],[ProgramID]], Programs[ProgramID], Programs[ProgramCode], "")</f>
        <v>WG_4W_A</v>
      </c>
      <c r="C154" s="5" t="s">
        <v>863</v>
      </c>
      <c r="D154" s="5" cm="1">
        <f t="array" ref="D154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54" s="5" t="str">
        <f>Sessions[[#This Row],[ProgramCode]] &amp; "-" &amp; Sessions[[#This Row],[SessionCode]] &amp; "-" &amp; TEXT(Sessions[[#This Row],[SessionOrder]],"00")</f>
        <v>WG_4W_A-D-02</v>
      </c>
      <c r="F154" s="5" t="str">
        <f>Sessions[[#This Row],[ProgramCode]] &amp; " – Session " &amp; Sessions[[#This Row],[SessionCode]] &amp; " (Week " &amp; Sessions[[#This Row],[SessionOrder]] &amp; ")"</f>
        <v>WG_4W_A – Session D (Week 2)</v>
      </c>
      <c r="G154" s="2">
        <v>46121</v>
      </c>
      <c r="H154" s="5" t="s">
        <v>271</v>
      </c>
    </row>
    <row r="155" spans="1:8" x14ac:dyDescent="0.3">
      <c r="A155" t="s">
        <v>874</v>
      </c>
      <c r="B155" s="5" t="str">
        <f>_xlfn.XLOOKUP(Sessions[[#This Row],[ProgramID]], Programs[ProgramID], Programs[ProgramCode], "")</f>
        <v>WG_4W_A</v>
      </c>
      <c r="C155" s="5" t="s">
        <v>869</v>
      </c>
      <c r="D155" s="5" cm="1">
        <f t="array" ref="D155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55" s="5" t="str">
        <f>Sessions[[#This Row],[ProgramCode]] &amp; "-" &amp; Sessions[[#This Row],[SessionCode]] &amp; "-" &amp; TEXT(Sessions[[#This Row],[SessionOrder]],"00")</f>
        <v>WG_4W_A-E-02</v>
      </c>
      <c r="F155" s="5" t="str">
        <f>Sessions[[#This Row],[ProgramCode]] &amp; " – Session " &amp; Sessions[[#This Row],[SessionCode]] &amp; " (Week " &amp; Sessions[[#This Row],[SessionOrder]] &amp; ")"</f>
        <v>WG_4W_A – Session E (Week 2)</v>
      </c>
      <c r="G155" s="2">
        <v>46122</v>
      </c>
      <c r="H155" s="5" t="s">
        <v>165</v>
      </c>
    </row>
    <row r="156" spans="1:8" x14ac:dyDescent="0.3">
      <c r="A156" t="s">
        <v>874</v>
      </c>
      <c r="B156" s="5" t="str">
        <f>_xlfn.XLOOKUP(Sessions[[#This Row],[ProgramID]], Programs[ProgramID], Programs[ProgramCode], "")</f>
        <v>WG_4W_A</v>
      </c>
      <c r="C156" s="5" t="s">
        <v>849</v>
      </c>
      <c r="D156" s="5" cm="1">
        <f t="array" ref="D156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56" s="5" t="str">
        <f>Sessions[[#This Row],[ProgramCode]] &amp; "-" &amp; Sessions[[#This Row],[SessionCode]] &amp; "-" &amp; TEXT(Sessions[[#This Row],[SessionOrder]],"00")</f>
        <v>WG_4W_A-A-03</v>
      </c>
      <c r="F156" s="5" t="str">
        <f>Sessions[[#This Row],[ProgramCode]] &amp; " – Session " &amp; Sessions[[#This Row],[SessionCode]] &amp; " (Week " &amp; Sessions[[#This Row],[SessionOrder]] &amp; ")"</f>
        <v>WG_4W_A – Session A (Week 3)</v>
      </c>
      <c r="G156" s="2">
        <v>46123</v>
      </c>
      <c r="H156" s="5" t="s">
        <v>299</v>
      </c>
    </row>
    <row r="157" spans="1:8" x14ac:dyDescent="0.3">
      <c r="A157" t="s">
        <v>874</v>
      </c>
      <c r="B157" s="5" t="str">
        <f>_xlfn.XLOOKUP(Sessions[[#This Row],[ProgramID]], Programs[ProgramID], Programs[ProgramCode], "")</f>
        <v>WG_4W_A</v>
      </c>
      <c r="C157" s="5" t="s">
        <v>852</v>
      </c>
      <c r="D157" s="5" cm="1">
        <f t="array" ref="D157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57" s="5" t="str">
        <f>Sessions[[#This Row],[ProgramCode]] &amp; "-" &amp; Sessions[[#This Row],[SessionCode]] &amp; "-" &amp; TEXT(Sessions[[#This Row],[SessionOrder]],"00")</f>
        <v>WG_4W_A-B-03</v>
      </c>
      <c r="F157" s="5" t="str">
        <f>Sessions[[#This Row],[ProgramCode]] &amp; " – Session " &amp; Sessions[[#This Row],[SessionCode]] &amp; " (Week " &amp; Sessions[[#This Row],[SessionOrder]] &amp; ")"</f>
        <v>WG_4W_A – Session B (Week 3)</v>
      </c>
      <c r="G157" s="2">
        <v>46124</v>
      </c>
      <c r="H157" s="5" t="s">
        <v>861</v>
      </c>
    </row>
    <row r="158" spans="1:8" x14ac:dyDescent="0.3">
      <c r="A158" t="s">
        <v>874</v>
      </c>
      <c r="B158" s="5" t="str">
        <f>_xlfn.XLOOKUP(Sessions[[#This Row],[ProgramID]], Programs[ProgramID], Programs[ProgramCode], "")</f>
        <v>WG_4W_A</v>
      </c>
      <c r="C158" s="5" t="s">
        <v>855</v>
      </c>
      <c r="D158" s="5" cm="1">
        <f t="array" ref="D158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58" s="5" t="str">
        <f>Sessions[[#This Row],[ProgramCode]] &amp; "-" &amp; Sessions[[#This Row],[SessionCode]] &amp; "-" &amp; TEXT(Sessions[[#This Row],[SessionOrder]],"00")</f>
        <v>WG_4W_A-C-03</v>
      </c>
      <c r="F158" s="5" t="str">
        <f>Sessions[[#This Row],[ProgramCode]] &amp; " – Session " &amp; Sessions[[#This Row],[SessionCode]] &amp; " (Week " &amp; Sessions[[#This Row],[SessionOrder]] &amp; ")"</f>
        <v>WG_4W_A – Session C (Week 3)</v>
      </c>
      <c r="G158" s="2">
        <v>46125</v>
      </c>
      <c r="H158" s="5" t="s">
        <v>163</v>
      </c>
    </row>
    <row r="159" spans="1:8" x14ac:dyDescent="0.3">
      <c r="A159" t="s">
        <v>874</v>
      </c>
      <c r="B159" s="5" t="str">
        <f>_xlfn.XLOOKUP(Sessions[[#This Row],[ProgramID]], Programs[ProgramID], Programs[ProgramCode], "")</f>
        <v>WG_4W_A</v>
      </c>
      <c r="C159" s="5" t="s">
        <v>863</v>
      </c>
      <c r="D159" s="5" cm="1">
        <f t="array" ref="D159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59" s="5" t="str">
        <f>Sessions[[#This Row],[ProgramCode]] &amp; "-" &amp; Sessions[[#This Row],[SessionCode]] &amp; "-" &amp; TEXT(Sessions[[#This Row],[SessionOrder]],"00")</f>
        <v>WG_4W_A-D-03</v>
      </c>
      <c r="F159" s="5" t="str">
        <f>Sessions[[#This Row],[ProgramCode]] &amp; " – Session " &amp; Sessions[[#This Row],[SessionCode]] &amp; " (Week " &amp; Sessions[[#This Row],[SessionOrder]] &amp; ")"</f>
        <v>WG_4W_A – Session D (Week 3)</v>
      </c>
      <c r="G159" s="2">
        <v>46126</v>
      </c>
      <c r="H159" s="5" t="s">
        <v>271</v>
      </c>
    </row>
    <row r="160" spans="1:8" x14ac:dyDescent="0.3">
      <c r="A160" t="s">
        <v>874</v>
      </c>
      <c r="B160" s="5" t="str">
        <f>_xlfn.XLOOKUP(Sessions[[#This Row],[ProgramID]], Programs[ProgramID], Programs[ProgramCode], "")</f>
        <v>WG_4W_A</v>
      </c>
      <c r="C160" s="5" t="s">
        <v>869</v>
      </c>
      <c r="D160" s="5" cm="1">
        <f t="array" ref="D160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60" s="5" t="str">
        <f>Sessions[[#This Row],[ProgramCode]] &amp; "-" &amp; Sessions[[#This Row],[SessionCode]] &amp; "-" &amp; TEXT(Sessions[[#This Row],[SessionOrder]],"00")</f>
        <v>WG_4W_A-E-03</v>
      </c>
      <c r="F160" s="5" t="str">
        <f>Sessions[[#This Row],[ProgramCode]] &amp; " – Session " &amp; Sessions[[#This Row],[SessionCode]] &amp; " (Week " &amp; Sessions[[#This Row],[SessionOrder]] &amp; ")"</f>
        <v>WG_4W_A – Session E (Week 3)</v>
      </c>
      <c r="G160" s="2">
        <v>46127</v>
      </c>
      <c r="H160" s="5" t="s">
        <v>165</v>
      </c>
    </row>
    <row r="161" spans="1:8" x14ac:dyDescent="0.3">
      <c r="A161" t="s">
        <v>874</v>
      </c>
      <c r="B161" s="5" t="str">
        <f>_xlfn.XLOOKUP(Sessions[[#This Row],[ProgramID]], Programs[ProgramID], Programs[ProgramCode], "")</f>
        <v>WG_4W_A</v>
      </c>
      <c r="C161" s="5" t="s">
        <v>849</v>
      </c>
      <c r="D161" s="5" cm="1">
        <f t="array" ref="D161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61" s="5" t="str">
        <f>Sessions[[#This Row],[ProgramCode]] &amp; "-" &amp; Sessions[[#This Row],[SessionCode]] &amp; "-" &amp; TEXT(Sessions[[#This Row],[SessionOrder]],"00")</f>
        <v>WG_4W_A-A-04</v>
      </c>
      <c r="F161" s="5" t="str">
        <f>Sessions[[#This Row],[ProgramCode]] &amp; " – Session " &amp; Sessions[[#This Row],[SessionCode]] &amp; " (Week " &amp; Sessions[[#This Row],[SessionOrder]] &amp; ")"</f>
        <v>WG_4W_A – Session A (Week 4)</v>
      </c>
      <c r="G161" s="2">
        <v>46128</v>
      </c>
      <c r="H161" s="5" t="s">
        <v>299</v>
      </c>
    </row>
    <row r="162" spans="1:8" x14ac:dyDescent="0.3">
      <c r="A162" t="s">
        <v>874</v>
      </c>
      <c r="B162" s="5" t="str">
        <f>_xlfn.XLOOKUP(Sessions[[#This Row],[ProgramID]], Programs[ProgramID], Programs[ProgramCode], "")</f>
        <v>WG_4W_A</v>
      </c>
      <c r="C162" s="5" t="s">
        <v>852</v>
      </c>
      <c r="D162" s="5" cm="1">
        <f t="array" ref="D162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62" s="5" t="str">
        <f>Sessions[[#This Row],[ProgramCode]] &amp; "-" &amp; Sessions[[#This Row],[SessionCode]] &amp; "-" &amp; TEXT(Sessions[[#This Row],[SessionOrder]],"00")</f>
        <v>WG_4W_A-B-04</v>
      </c>
      <c r="F162" s="5" t="str">
        <f>Sessions[[#This Row],[ProgramCode]] &amp; " – Session " &amp; Sessions[[#This Row],[SessionCode]] &amp; " (Week " &amp; Sessions[[#This Row],[SessionOrder]] &amp; ")"</f>
        <v>WG_4W_A – Session B (Week 4)</v>
      </c>
      <c r="G162" s="2">
        <v>46129</v>
      </c>
      <c r="H162" s="5" t="s">
        <v>861</v>
      </c>
    </row>
    <row r="163" spans="1:8" x14ac:dyDescent="0.3">
      <c r="A163" t="s">
        <v>874</v>
      </c>
      <c r="B163" s="5" t="str">
        <f>_xlfn.XLOOKUP(Sessions[[#This Row],[ProgramID]], Programs[ProgramID], Programs[ProgramCode], "")</f>
        <v>WG_4W_A</v>
      </c>
      <c r="C163" s="5" t="s">
        <v>855</v>
      </c>
      <c r="D163" s="5" cm="1">
        <f t="array" ref="D163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63" s="5" t="str">
        <f>Sessions[[#This Row],[ProgramCode]] &amp; "-" &amp; Sessions[[#This Row],[SessionCode]] &amp; "-" &amp; TEXT(Sessions[[#This Row],[SessionOrder]],"00")</f>
        <v>WG_4W_A-C-04</v>
      </c>
      <c r="F163" s="5" t="str">
        <f>Sessions[[#This Row],[ProgramCode]] &amp; " – Session " &amp; Sessions[[#This Row],[SessionCode]] &amp; " (Week " &amp; Sessions[[#This Row],[SessionOrder]] &amp; ")"</f>
        <v>WG_4W_A – Session C (Week 4)</v>
      </c>
      <c r="G163" s="2">
        <v>46130</v>
      </c>
      <c r="H163" s="5" t="s">
        <v>163</v>
      </c>
    </row>
    <row r="164" spans="1:8" x14ac:dyDescent="0.3">
      <c r="A164" t="s">
        <v>874</v>
      </c>
      <c r="B164" s="5" t="str">
        <f>_xlfn.XLOOKUP(Sessions[[#This Row],[ProgramID]], Programs[ProgramID], Programs[ProgramCode], "")</f>
        <v>WG_4W_A</v>
      </c>
      <c r="C164" s="5" t="s">
        <v>863</v>
      </c>
      <c r="D164" s="5" cm="1">
        <f t="array" ref="D164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64" s="5" t="str">
        <f>Sessions[[#This Row],[ProgramCode]] &amp; "-" &amp; Sessions[[#This Row],[SessionCode]] &amp; "-" &amp; TEXT(Sessions[[#This Row],[SessionOrder]],"00")</f>
        <v>WG_4W_A-D-04</v>
      </c>
      <c r="F164" s="5" t="str">
        <f>Sessions[[#This Row],[ProgramCode]] &amp; " – Session " &amp; Sessions[[#This Row],[SessionCode]] &amp; " (Week " &amp; Sessions[[#This Row],[SessionOrder]] &amp; ")"</f>
        <v>WG_4W_A – Session D (Week 4)</v>
      </c>
      <c r="G164" s="2">
        <v>46131</v>
      </c>
      <c r="H164" s="5" t="s">
        <v>271</v>
      </c>
    </row>
    <row r="165" spans="1:8" x14ac:dyDescent="0.3">
      <c r="A165" t="s">
        <v>874</v>
      </c>
      <c r="B165" s="5" t="str">
        <f>_xlfn.XLOOKUP(Sessions[[#This Row],[ProgramID]], Programs[ProgramID], Programs[ProgramCode], "")</f>
        <v>WG_4W_A</v>
      </c>
      <c r="C165" s="5" t="s">
        <v>869</v>
      </c>
      <c r="D165" s="5" cm="1">
        <f t="array" ref="D165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65" s="5" t="str">
        <f>Sessions[[#This Row],[ProgramCode]] &amp; "-" &amp; Sessions[[#This Row],[SessionCode]] &amp; "-" &amp; TEXT(Sessions[[#This Row],[SessionOrder]],"00")</f>
        <v>WG_4W_A-E-04</v>
      </c>
      <c r="F165" s="5" t="str">
        <f>Sessions[[#This Row],[ProgramCode]] &amp; " – Session " &amp; Sessions[[#This Row],[SessionCode]] &amp; " (Week " &amp; Sessions[[#This Row],[SessionOrder]] &amp; ")"</f>
        <v>WG_4W_A – Session E (Week 4)</v>
      </c>
      <c r="G165" s="2">
        <v>46132</v>
      </c>
      <c r="H165" s="5" t="s">
        <v>165</v>
      </c>
    </row>
    <row r="166" spans="1:8" x14ac:dyDescent="0.3">
      <c r="A166" t="s">
        <v>874</v>
      </c>
      <c r="B166" s="5" t="str">
        <f>_xlfn.XLOOKUP(Sessions[[#This Row],[ProgramID]], Programs[ProgramID], Programs[ProgramCode], "")</f>
        <v>WG_4W_A</v>
      </c>
      <c r="C166" s="5" t="s">
        <v>849</v>
      </c>
      <c r="D166" s="5" cm="1">
        <f t="array" ref="D166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66" s="5" t="str">
        <f>Sessions[[#This Row],[ProgramCode]] &amp; "-" &amp; Sessions[[#This Row],[SessionCode]] &amp; "-" &amp; TEXT(Sessions[[#This Row],[SessionOrder]],"00")</f>
        <v>WG_4W_A-A-05</v>
      </c>
      <c r="F166" s="5" t="str">
        <f>Sessions[[#This Row],[ProgramCode]] &amp; " – Session " &amp; Sessions[[#This Row],[SessionCode]] &amp; " (Week " &amp; Sessions[[#This Row],[SessionOrder]] &amp; ")"</f>
        <v>WG_4W_A – Session A (Week 5)</v>
      </c>
      <c r="G166" s="2">
        <v>46133</v>
      </c>
      <c r="H166" s="5" t="s">
        <v>299</v>
      </c>
    </row>
    <row r="167" spans="1:8" x14ac:dyDescent="0.3">
      <c r="A167" t="s">
        <v>874</v>
      </c>
      <c r="B167" s="5" t="str">
        <f>_xlfn.XLOOKUP(Sessions[[#This Row],[ProgramID]], Programs[ProgramID], Programs[ProgramCode], "")</f>
        <v>WG_4W_A</v>
      </c>
      <c r="C167" s="5" t="s">
        <v>852</v>
      </c>
      <c r="D167" s="5" cm="1">
        <f t="array" ref="D167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67" s="5" t="str">
        <f>Sessions[[#This Row],[ProgramCode]] &amp; "-" &amp; Sessions[[#This Row],[SessionCode]] &amp; "-" &amp; TEXT(Sessions[[#This Row],[SessionOrder]],"00")</f>
        <v>WG_4W_A-B-05</v>
      </c>
      <c r="F167" s="5" t="str">
        <f>Sessions[[#This Row],[ProgramCode]] &amp; " – Session " &amp; Sessions[[#This Row],[SessionCode]] &amp; " (Week " &amp; Sessions[[#This Row],[SessionOrder]] &amp; ")"</f>
        <v>WG_4W_A – Session B (Week 5)</v>
      </c>
      <c r="G167" s="2">
        <v>46134</v>
      </c>
      <c r="H167" s="5" t="s">
        <v>861</v>
      </c>
    </row>
    <row r="168" spans="1:8" x14ac:dyDescent="0.3">
      <c r="A168" t="s">
        <v>874</v>
      </c>
      <c r="B168" s="5" t="str">
        <f>_xlfn.XLOOKUP(Sessions[[#This Row],[ProgramID]], Programs[ProgramID], Programs[ProgramCode], "")</f>
        <v>WG_4W_A</v>
      </c>
      <c r="C168" s="5" t="s">
        <v>855</v>
      </c>
      <c r="D168" s="5" cm="1">
        <f t="array" ref="D168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68" s="5" t="str">
        <f>Sessions[[#This Row],[ProgramCode]] &amp; "-" &amp; Sessions[[#This Row],[SessionCode]] &amp; "-" &amp; TEXT(Sessions[[#This Row],[SessionOrder]],"00")</f>
        <v>WG_4W_A-C-05</v>
      </c>
      <c r="F168" s="5" t="str">
        <f>Sessions[[#This Row],[ProgramCode]] &amp; " – Session " &amp; Sessions[[#This Row],[SessionCode]] &amp; " (Week " &amp; Sessions[[#This Row],[SessionOrder]] &amp; ")"</f>
        <v>WG_4W_A – Session C (Week 5)</v>
      </c>
      <c r="G168" s="2">
        <v>46135</v>
      </c>
      <c r="H168" s="5" t="s">
        <v>163</v>
      </c>
    </row>
    <row r="169" spans="1:8" x14ac:dyDescent="0.3">
      <c r="A169" t="s">
        <v>874</v>
      </c>
      <c r="B169" s="5" t="str">
        <f>_xlfn.XLOOKUP(Sessions[[#This Row],[ProgramID]], Programs[ProgramID], Programs[ProgramCode], "")</f>
        <v>WG_4W_A</v>
      </c>
      <c r="C169" s="5" t="s">
        <v>863</v>
      </c>
      <c r="D169" s="5" cm="1">
        <f t="array" ref="D169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69" s="5" t="str">
        <f>Sessions[[#This Row],[ProgramCode]] &amp; "-" &amp; Sessions[[#This Row],[SessionCode]] &amp; "-" &amp; TEXT(Sessions[[#This Row],[SessionOrder]],"00")</f>
        <v>WG_4W_A-D-05</v>
      </c>
      <c r="F169" s="5" t="str">
        <f>Sessions[[#This Row],[ProgramCode]] &amp; " – Session " &amp; Sessions[[#This Row],[SessionCode]] &amp; " (Week " &amp; Sessions[[#This Row],[SessionOrder]] &amp; ")"</f>
        <v>WG_4W_A – Session D (Week 5)</v>
      </c>
      <c r="G169" s="2">
        <v>46136</v>
      </c>
      <c r="H169" s="5" t="s">
        <v>271</v>
      </c>
    </row>
    <row r="170" spans="1:8" x14ac:dyDescent="0.3">
      <c r="A170" t="s">
        <v>874</v>
      </c>
      <c r="B170" s="5" t="str">
        <f>_xlfn.XLOOKUP(Sessions[[#This Row],[ProgramID]], Programs[ProgramID], Programs[ProgramCode], "")</f>
        <v>WG_4W_A</v>
      </c>
      <c r="C170" s="5" t="s">
        <v>869</v>
      </c>
      <c r="D170" s="5" cm="1">
        <f t="array" ref="D170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70" s="5" t="str">
        <f>Sessions[[#This Row],[ProgramCode]] &amp; "-" &amp; Sessions[[#This Row],[SessionCode]] &amp; "-" &amp; TEXT(Sessions[[#This Row],[SessionOrder]],"00")</f>
        <v>WG_4W_A-E-05</v>
      </c>
      <c r="F170" s="5" t="str">
        <f>Sessions[[#This Row],[ProgramCode]] &amp; " – Session " &amp; Sessions[[#This Row],[SessionCode]] &amp; " (Week " &amp; Sessions[[#This Row],[SessionOrder]] &amp; ")"</f>
        <v>WG_4W_A – Session E (Week 5)</v>
      </c>
      <c r="G170" s="2">
        <v>46137</v>
      </c>
      <c r="H170" s="5" t="s">
        <v>165</v>
      </c>
    </row>
    <row r="171" spans="1:8" x14ac:dyDescent="0.3">
      <c r="A171" t="s">
        <v>875</v>
      </c>
      <c r="B171" s="5" t="str">
        <f>_xlfn.XLOOKUP(Sessions[[#This Row],[ProgramID]], Programs[ProgramID], Programs[ProgramCode], "")</f>
        <v>WG_4W_B</v>
      </c>
      <c r="C171" s="5" t="s">
        <v>849</v>
      </c>
      <c r="D171" s="5" cm="1">
        <f t="array" ref="D171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71" s="5" t="str">
        <f>Sessions[[#This Row],[ProgramCode]] &amp; "-" &amp; Sessions[[#This Row],[SessionCode]] &amp; "-" &amp; TEXT(Sessions[[#This Row],[SessionOrder]],"00")</f>
        <v>WG_4W_B-A-01</v>
      </c>
      <c r="F171" s="5" t="str">
        <f>Sessions[[#This Row],[ProgramCode]] &amp; " – Session " &amp; Sessions[[#This Row],[SessionCode]] &amp; " (Week " &amp; Sessions[[#This Row],[SessionOrder]] &amp; ")"</f>
        <v>WG_4W_B – Session A (Week 1)</v>
      </c>
      <c r="G171" s="2">
        <v>46138</v>
      </c>
    </row>
    <row r="172" spans="1:8" x14ac:dyDescent="0.3">
      <c r="A172" t="s">
        <v>875</v>
      </c>
      <c r="B172" s="5" t="str">
        <f>_xlfn.XLOOKUP(Sessions[[#This Row],[ProgramID]], Programs[ProgramID], Programs[ProgramCode], "")</f>
        <v>WG_4W_B</v>
      </c>
      <c r="C172" s="5" t="s">
        <v>852</v>
      </c>
      <c r="D172" s="5" cm="1">
        <f t="array" ref="D17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72" s="5" t="str">
        <f>Sessions[[#This Row],[ProgramCode]] &amp; "-" &amp; Sessions[[#This Row],[SessionCode]] &amp; "-" &amp; TEXT(Sessions[[#This Row],[SessionOrder]],"00")</f>
        <v>WG_4W_B-B-01</v>
      </c>
      <c r="F172" s="5" t="str">
        <f>Sessions[[#This Row],[ProgramCode]] &amp; " – Session " &amp; Sessions[[#This Row],[SessionCode]] &amp; " (Week " &amp; Sessions[[#This Row],[SessionOrder]] &amp; ")"</f>
        <v>WG_4W_B – Session B (Week 1)</v>
      </c>
      <c r="G172" s="2">
        <v>46139</v>
      </c>
    </row>
    <row r="173" spans="1:8" x14ac:dyDescent="0.3">
      <c r="A173" t="s">
        <v>875</v>
      </c>
      <c r="B173" s="5" t="str">
        <f>_xlfn.XLOOKUP(Sessions[[#This Row],[ProgramID]], Programs[ProgramID], Programs[ProgramCode], "")</f>
        <v>WG_4W_B</v>
      </c>
      <c r="C173" s="5" t="s">
        <v>855</v>
      </c>
      <c r="D173" s="5" cm="1">
        <f t="array" ref="D17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73" s="5" t="str">
        <f>Sessions[[#This Row],[ProgramCode]] &amp; "-" &amp; Sessions[[#This Row],[SessionCode]] &amp; "-" &amp; TEXT(Sessions[[#This Row],[SessionOrder]],"00")</f>
        <v>WG_4W_B-C-01</v>
      </c>
      <c r="F173" s="5" t="str">
        <f>Sessions[[#This Row],[ProgramCode]] &amp; " – Session " &amp; Sessions[[#This Row],[SessionCode]] &amp; " (Week " &amp; Sessions[[#This Row],[SessionOrder]] &amp; ")"</f>
        <v>WG_4W_B – Session C (Week 1)</v>
      </c>
      <c r="G173" s="2">
        <v>46140</v>
      </c>
    </row>
    <row r="174" spans="1:8" x14ac:dyDescent="0.3">
      <c r="A174" t="s">
        <v>875</v>
      </c>
      <c r="B174" s="5" t="str">
        <f>_xlfn.XLOOKUP(Sessions[[#This Row],[ProgramID]], Programs[ProgramID], Programs[ProgramCode], "")</f>
        <v>WG_4W_B</v>
      </c>
      <c r="C174" s="5" t="s">
        <v>863</v>
      </c>
      <c r="D174" s="5" cm="1">
        <f t="array" ref="D174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74" s="5" t="str">
        <f>Sessions[[#This Row],[ProgramCode]] &amp; "-" &amp; Sessions[[#This Row],[SessionCode]] &amp; "-" &amp; TEXT(Sessions[[#This Row],[SessionOrder]],"00")</f>
        <v>WG_4W_B-D-01</v>
      </c>
      <c r="F174" s="5" t="str">
        <f>Sessions[[#This Row],[ProgramCode]] &amp; " – Session " &amp; Sessions[[#This Row],[SessionCode]] &amp; " (Week " &amp; Sessions[[#This Row],[SessionOrder]] &amp; ")"</f>
        <v>WG_4W_B – Session D (Week 1)</v>
      </c>
      <c r="G174" s="2">
        <v>46141</v>
      </c>
    </row>
    <row r="175" spans="1:8" x14ac:dyDescent="0.3">
      <c r="A175" t="s">
        <v>875</v>
      </c>
      <c r="B175" s="5" t="str">
        <f>_xlfn.XLOOKUP(Sessions[[#This Row],[ProgramID]], Programs[ProgramID], Programs[ProgramCode], "")</f>
        <v>WG_4W_B</v>
      </c>
      <c r="C175" s="5" t="s">
        <v>869</v>
      </c>
      <c r="D175" s="5" cm="1">
        <f t="array" ref="D175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75" s="5" t="str">
        <f>Sessions[[#This Row],[ProgramCode]] &amp; "-" &amp; Sessions[[#This Row],[SessionCode]] &amp; "-" &amp; TEXT(Sessions[[#This Row],[SessionOrder]],"00")</f>
        <v>WG_4W_B-E-01</v>
      </c>
      <c r="F175" s="5" t="str">
        <f>Sessions[[#This Row],[ProgramCode]] &amp; " – Session " &amp; Sessions[[#This Row],[SessionCode]] &amp; " (Week " &amp; Sessions[[#This Row],[SessionOrder]] &amp; ")"</f>
        <v>WG_4W_B – Session E (Week 1)</v>
      </c>
      <c r="G175" s="2">
        <v>46142</v>
      </c>
    </row>
    <row r="176" spans="1:8" x14ac:dyDescent="0.3">
      <c r="A176" t="s">
        <v>875</v>
      </c>
      <c r="B176" s="5" t="str">
        <f>_xlfn.XLOOKUP(Sessions[[#This Row],[ProgramID]], Programs[ProgramID], Programs[ProgramCode], "")</f>
        <v>WG_4W_B</v>
      </c>
      <c r="C176" s="5" t="s">
        <v>849</v>
      </c>
      <c r="D176" s="5" cm="1">
        <f t="array" ref="D176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76" s="5" t="str">
        <f>Sessions[[#This Row],[ProgramCode]] &amp; "-" &amp; Sessions[[#This Row],[SessionCode]] &amp; "-" &amp; TEXT(Sessions[[#This Row],[SessionOrder]],"00")</f>
        <v>WG_4W_B-A-02</v>
      </c>
      <c r="F176" s="5" t="str">
        <f>Sessions[[#This Row],[ProgramCode]] &amp; " – Session " &amp; Sessions[[#This Row],[SessionCode]] &amp; " (Week " &amp; Sessions[[#This Row],[SessionOrder]] &amp; ")"</f>
        <v>WG_4W_B – Session A (Week 2)</v>
      </c>
      <c r="G176" s="2">
        <v>46143</v>
      </c>
    </row>
    <row r="177" spans="1:7" x14ac:dyDescent="0.3">
      <c r="A177" t="s">
        <v>875</v>
      </c>
      <c r="B177" s="5" t="str">
        <f>_xlfn.XLOOKUP(Sessions[[#This Row],[ProgramID]], Programs[ProgramID], Programs[ProgramCode], "")</f>
        <v>WG_4W_B</v>
      </c>
      <c r="C177" s="5" t="s">
        <v>852</v>
      </c>
      <c r="D177" s="5" cm="1">
        <f t="array" ref="D17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77" s="5" t="str">
        <f>Sessions[[#This Row],[ProgramCode]] &amp; "-" &amp; Sessions[[#This Row],[SessionCode]] &amp; "-" &amp; TEXT(Sessions[[#This Row],[SessionOrder]],"00")</f>
        <v>WG_4W_B-B-02</v>
      </c>
      <c r="F177" s="5" t="str">
        <f>Sessions[[#This Row],[ProgramCode]] &amp; " – Session " &amp; Sessions[[#This Row],[SessionCode]] &amp; " (Week " &amp; Sessions[[#This Row],[SessionOrder]] &amp; ")"</f>
        <v>WG_4W_B – Session B (Week 2)</v>
      </c>
      <c r="G177" s="2">
        <v>46144</v>
      </c>
    </row>
    <row r="178" spans="1:7" x14ac:dyDescent="0.3">
      <c r="A178" t="s">
        <v>875</v>
      </c>
      <c r="B178" s="5" t="str">
        <f>_xlfn.XLOOKUP(Sessions[[#This Row],[ProgramID]], Programs[ProgramID], Programs[ProgramCode], "")</f>
        <v>WG_4W_B</v>
      </c>
      <c r="C178" s="5" t="s">
        <v>855</v>
      </c>
      <c r="D178" s="5" cm="1">
        <f t="array" ref="D178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78" s="5" t="str">
        <f>Sessions[[#This Row],[ProgramCode]] &amp; "-" &amp; Sessions[[#This Row],[SessionCode]] &amp; "-" &amp; TEXT(Sessions[[#This Row],[SessionOrder]],"00")</f>
        <v>WG_4W_B-C-02</v>
      </c>
      <c r="F178" s="5" t="str">
        <f>Sessions[[#This Row],[ProgramCode]] &amp; " – Session " &amp; Sessions[[#This Row],[SessionCode]] &amp; " (Week " &amp; Sessions[[#This Row],[SessionOrder]] &amp; ")"</f>
        <v>WG_4W_B – Session C (Week 2)</v>
      </c>
      <c r="G178" s="2">
        <v>46145</v>
      </c>
    </row>
    <row r="179" spans="1:7" x14ac:dyDescent="0.3">
      <c r="A179" t="s">
        <v>875</v>
      </c>
      <c r="B179" s="5" t="str">
        <f>_xlfn.XLOOKUP(Sessions[[#This Row],[ProgramID]], Programs[ProgramID], Programs[ProgramCode], "")</f>
        <v>WG_4W_B</v>
      </c>
      <c r="C179" s="5" t="s">
        <v>863</v>
      </c>
      <c r="D179" s="5" cm="1">
        <f t="array" ref="D179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79" s="5" t="str">
        <f>Sessions[[#This Row],[ProgramCode]] &amp; "-" &amp; Sessions[[#This Row],[SessionCode]] &amp; "-" &amp; TEXT(Sessions[[#This Row],[SessionOrder]],"00")</f>
        <v>WG_4W_B-D-02</v>
      </c>
      <c r="F179" s="5" t="str">
        <f>Sessions[[#This Row],[ProgramCode]] &amp; " – Session " &amp; Sessions[[#This Row],[SessionCode]] &amp; " (Week " &amp; Sessions[[#This Row],[SessionOrder]] &amp; ")"</f>
        <v>WG_4W_B – Session D (Week 2)</v>
      </c>
      <c r="G179" s="2">
        <v>46146</v>
      </c>
    </row>
    <row r="180" spans="1:7" x14ac:dyDescent="0.3">
      <c r="A180" t="s">
        <v>875</v>
      </c>
      <c r="B180" s="5" t="str">
        <f>_xlfn.XLOOKUP(Sessions[[#This Row],[ProgramID]], Programs[ProgramID], Programs[ProgramCode], "")</f>
        <v>WG_4W_B</v>
      </c>
      <c r="C180" s="5" t="s">
        <v>869</v>
      </c>
      <c r="D180" s="5" cm="1">
        <f t="array" ref="D180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180" s="5" t="str">
        <f>Sessions[[#This Row],[ProgramCode]] &amp; "-" &amp; Sessions[[#This Row],[SessionCode]] &amp; "-" &amp; TEXT(Sessions[[#This Row],[SessionOrder]],"00")</f>
        <v>WG_4W_B-E-02</v>
      </c>
      <c r="F180" s="5" t="str">
        <f>Sessions[[#This Row],[ProgramCode]] &amp; " – Session " &amp; Sessions[[#This Row],[SessionCode]] &amp; " (Week " &amp; Sessions[[#This Row],[SessionOrder]] &amp; ")"</f>
        <v>WG_4W_B – Session E (Week 2)</v>
      </c>
      <c r="G180" s="2">
        <v>46147</v>
      </c>
    </row>
    <row r="181" spans="1:7" x14ac:dyDescent="0.3">
      <c r="A181" t="s">
        <v>875</v>
      </c>
      <c r="B181" s="5" t="str">
        <f>_xlfn.XLOOKUP(Sessions[[#This Row],[ProgramID]], Programs[ProgramID], Programs[ProgramCode], "")</f>
        <v>WG_4W_B</v>
      </c>
      <c r="C181" s="5" t="s">
        <v>849</v>
      </c>
      <c r="D181" s="5" cm="1">
        <f t="array" ref="D181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81" s="5" t="str">
        <f>Sessions[[#This Row],[ProgramCode]] &amp; "-" &amp; Sessions[[#This Row],[SessionCode]] &amp; "-" &amp; TEXT(Sessions[[#This Row],[SessionOrder]],"00")</f>
        <v>WG_4W_B-A-03</v>
      </c>
      <c r="F181" s="5" t="str">
        <f>Sessions[[#This Row],[ProgramCode]] &amp; " – Session " &amp; Sessions[[#This Row],[SessionCode]] &amp; " (Week " &amp; Sessions[[#This Row],[SessionOrder]] &amp; ")"</f>
        <v>WG_4W_B – Session A (Week 3)</v>
      </c>
      <c r="G181" s="2">
        <v>46148</v>
      </c>
    </row>
    <row r="182" spans="1:7" x14ac:dyDescent="0.3">
      <c r="A182" t="s">
        <v>875</v>
      </c>
      <c r="B182" s="5" t="str">
        <f>_xlfn.XLOOKUP(Sessions[[#This Row],[ProgramID]], Programs[ProgramID], Programs[ProgramCode], "")</f>
        <v>WG_4W_B</v>
      </c>
      <c r="C182" s="5" t="s">
        <v>852</v>
      </c>
      <c r="D182" s="5" cm="1">
        <f t="array" ref="D182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82" s="5" t="str">
        <f>Sessions[[#This Row],[ProgramCode]] &amp; "-" &amp; Sessions[[#This Row],[SessionCode]] &amp; "-" &amp; TEXT(Sessions[[#This Row],[SessionOrder]],"00")</f>
        <v>WG_4W_B-B-03</v>
      </c>
      <c r="F182" s="5" t="str">
        <f>Sessions[[#This Row],[ProgramCode]] &amp; " – Session " &amp; Sessions[[#This Row],[SessionCode]] &amp; " (Week " &amp; Sessions[[#This Row],[SessionOrder]] &amp; ")"</f>
        <v>WG_4W_B – Session B (Week 3)</v>
      </c>
      <c r="G182" s="2">
        <v>46149</v>
      </c>
    </row>
    <row r="183" spans="1:7" x14ac:dyDescent="0.3">
      <c r="A183" t="s">
        <v>875</v>
      </c>
      <c r="B183" s="5" t="str">
        <f>_xlfn.XLOOKUP(Sessions[[#This Row],[ProgramID]], Programs[ProgramID], Programs[ProgramCode], "")</f>
        <v>WG_4W_B</v>
      </c>
      <c r="C183" s="5" t="s">
        <v>855</v>
      </c>
      <c r="D183" s="5" cm="1">
        <f t="array" ref="D183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83" s="5" t="str">
        <f>Sessions[[#This Row],[ProgramCode]] &amp; "-" &amp; Sessions[[#This Row],[SessionCode]] &amp; "-" &amp; TEXT(Sessions[[#This Row],[SessionOrder]],"00")</f>
        <v>WG_4W_B-C-03</v>
      </c>
      <c r="F183" s="5" t="str">
        <f>Sessions[[#This Row],[ProgramCode]] &amp; " – Session " &amp; Sessions[[#This Row],[SessionCode]] &amp; " (Week " &amp; Sessions[[#This Row],[SessionOrder]] &amp; ")"</f>
        <v>WG_4W_B – Session C (Week 3)</v>
      </c>
      <c r="G183" s="2">
        <v>46150</v>
      </c>
    </row>
    <row r="184" spans="1:7" x14ac:dyDescent="0.3">
      <c r="A184" t="s">
        <v>875</v>
      </c>
      <c r="B184" s="5" t="str">
        <f>_xlfn.XLOOKUP(Sessions[[#This Row],[ProgramID]], Programs[ProgramID], Programs[ProgramCode], "")</f>
        <v>WG_4W_B</v>
      </c>
      <c r="C184" s="5" t="s">
        <v>863</v>
      </c>
      <c r="D184" s="5" cm="1">
        <f t="array" ref="D184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84" s="5" t="str">
        <f>Sessions[[#This Row],[ProgramCode]] &amp; "-" &amp; Sessions[[#This Row],[SessionCode]] &amp; "-" &amp; TEXT(Sessions[[#This Row],[SessionOrder]],"00")</f>
        <v>WG_4W_B-D-03</v>
      </c>
      <c r="F184" s="5" t="str">
        <f>Sessions[[#This Row],[ProgramCode]] &amp; " – Session " &amp; Sessions[[#This Row],[SessionCode]] &amp; " (Week " &amp; Sessions[[#This Row],[SessionOrder]] &amp; ")"</f>
        <v>WG_4W_B – Session D (Week 3)</v>
      </c>
      <c r="G184" s="2">
        <v>46151</v>
      </c>
    </row>
    <row r="185" spans="1:7" x14ac:dyDescent="0.3">
      <c r="A185" t="s">
        <v>875</v>
      </c>
      <c r="B185" s="5" t="str">
        <f>_xlfn.XLOOKUP(Sessions[[#This Row],[ProgramID]], Programs[ProgramID], Programs[ProgramCode], "")</f>
        <v>WG_4W_B</v>
      </c>
      <c r="C185" s="5" t="s">
        <v>869</v>
      </c>
      <c r="D185" s="5" cm="1">
        <f t="array" ref="D185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185" s="5" t="str">
        <f>Sessions[[#This Row],[ProgramCode]] &amp; "-" &amp; Sessions[[#This Row],[SessionCode]] &amp; "-" &amp; TEXT(Sessions[[#This Row],[SessionOrder]],"00")</f>
        <v>WG_4W_B-E-03</v>
      </c>
      <c r="F185" s="5" t="str">
        <f>Sessions[[#This Row],[ProgramCode]] &amp; " – Session " &amp; Sessions[[#This Row],[SessionCode]] &amp; " (Week " &amp; Sessions[[#This Row],[SessionOrder]] &amp; ")"</f>
        <v>WG_4W_B – Session E (Week 3)</v>
      </c>
      <c r="G185" s="2">
        <v>46152</v>
      </c>
    </row>
    <row r="186" spans="1:7" x14ac:dyDescent="0.3">
      <c r="A186" t="s">
        <v>875</v>
      </c>
      <c r="B186" s="5" t="str">
        <f>_xlfn.XLOOKUP(Sessions[[#This Row],[ProgramID]], Programs[ProgramID], Programs[ProgramCode], "")</f>
        <v>WG_4W_B</v>
      </c>
      <c r="C186" s="5" t="s">
        <v>849</v>
      </c>
      <c r="D186" s="5" cm="1">
        <f t="array" ref="D186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86" s="5" t="str">
        <f>Sessions[[#This Row],[ProgramCode]] &amp; "-" &amp; Sessions[[#This Row],[SessionCode]] &amp; "-" &amp; TEXT(Sessions[[#This Row],[SessionOrder]],"00")</f>
        <v>WG_4W_B-A-04</v>
      </c>
      <c r="F186" s="5" t="str">
        <f>Sessions[[#This Row],[ProgramCode]] &amp; " – Session " &amp; Sessions[[#This Row],[SessionCode]] &amp; " (Week " &amp; Sessions[[#This Row],[SessionOrder]] &amp; ")"</f>
        <v>WG_4W_B – Session A (Week 4)</v>
      </c>
      <c r="G186" s="2">
        <v>46153</v>
      </c>
    </row>
    <row r="187" spans="1:7" x14ac:dyDescent="0.3">
      <c r="A187" t="s">
        <v>875</v>
      </c>
      <c r="B187" s="5" t="str">
        <f>_xlfn.XLOOKUP(Sessions[[#This Row],[ProgramID]], Programs[ProgramID], Programs[ProgramCode], "")</f>
        <v>WG_4W_B</v>
      </c>
      <c r="C187" s="5" t="s">
        <v>852</v>
      </c>
      <c r="D187" s="5" cm="1">
        <f t="array" ref="D187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87" s="5" t="str">
        <f>Sessions[[#This Row],[ProgramCode]] &amp; "-" &amp; Sessions[[#This Row],[SessionCode]] &amp; "-" &amp; TEXT(Sessions[[#This Row],[SessionOrder]],"00")</f>
        <v>WG_4W_B-B-04</v>
      </c>
      <c r="F187" s="5" t="str">
        <f>Sessions[[#This Row],[ProgramCode]] &amp; " – Session " &amp; Sessions[[#This Row],[SessionCode]] &amp; " (Week " &amp; Sessions[[#This Row],[SessionOrder]] &amp; ")"</f>
        <v>WG_4W_B – Session B (Week 4)</v>
      </c>
      <c r="G187" s="2">
        <v>46154</v>
      </c>
    </row>
    <row r="188" spans="1:7" x14ac:dyDescent="0.3">
      <c r="A188" t="s">
        <v>875</v>
      </c>
      <c r="B188" s="5" t="str">
        <f>_xlfn.XLOOKUP(Sessions[[#This Row],[ProgramID]], Programs[ProgramID], Programs[ProgramCode], "")</f>
        <v>WG_4W_B</v>
      </c>
      <c r="C188" s="5" t="s">
        <v>855</v>
      </c>
      <c r="D188" s="5" cm="1">
        <f t="array" ref="D188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88" s="5" t="str">
        <f>Sessions[[#This Row],[ProgramCode]] &amp; "-" &amp; Sessions[[#This Row],[SessionCode]] &amp; "-" &amp; TEXT(Sessions[[#This Row],[SessionOrder]],"00")</f>
        <v>WG_4W_B-C-04</v>
      </c>
      <c r="F188" s="5" t="str">
        <f>Sessions[[#This Row],[ProgramCode]] &amp; " – Session " &amp; Sessions[[#This Row],[SessionCode]] &amp; " (Week " &amp; Sessions[[#This Row],[SessionOrder]] &amp; ")"</f>
        <v>WG_4W_B – Session C (Week 4)</v>
      </c>
      <c r="G188" s="2">
        <v>46155</v>
      </c>
    </row>
    <row r="189" spans="1:7" x14ac:dyDescent="0.3">
      <c r="A189" t="s">
        <v>875</v>
      </c>
      <c r="B189" s="5" t="str">
        <f>_xlfn.XLOOKUP(Sessions[[#This Row],[ProgramID]], Programs[ProgramID], Programs[ProgramCode], "")</f>
        <v>WG_4W_B</v>
      </c>
      <c r="C189" s="5" t="s">
        <v>863</v>
      </c>
      <c r="D189" s="5" cm="1">
        <f t="array" ref="D189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89" s="5" t="str">
        <f>Sessions[[#This Row],[ProgramCode]] &amp; "-" &amp; Sessions[[#This Row],[SessionCode]] &amp; "-" &amp; TEXT(Sessions[[#This Row],[SessionOrder]],"00")</f>
        <v>WG_4W_B-D-04</v>
      </c>
      <c r="F189" s="5" t="str">
        <f>Sessions[[#This Row],[ProgramCode]] &amp; " – Session " &amp; Sessions[[#This Row],[SessionCode]] &amp; " (Week " &amp; Sessions[[#This Row],[SessionOrder]] &amp; ")"</f>
        <v>WG_4W_B – Session D (Week 4)</v>
      </c>
      <c r="G189" s="2">
        <v>46156</v>
      </c>
    </row>
    <row r="190" spans="1:7" x14ac:dyDescent="0.3">
      <c r="A190" t="s">
        <v>875</v>
      </c>
      <c r="B190" s="5" t="str">
        <f>_xlfn.XLOOKUP(Sessions[[#This Row],[ProgramID]], Programs[ProgramID], Programs[ProgramCode], "")</f>
        <v>WG_4W_B</v>
      </c>
      <c r="C190" s="5" t="s">
        <v>869</v>
      </c>
      <c r="D190" s="5" cm="1">
        <f t="array" ref="D190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190" s="5" t="str">
        <f>Sessions[[#This Row],[ProgramCode]] &amp; "-" &amp; Sessions[[#This Row],[SessionCode]] &amp; "-" &amp; TEXT(Sessions[[#This Row],[SessionOrder]],"00")</f>
        <v>WG_4W_B-E-04</v>
      </c>
      <c r="F190" s="5" t="str">
        <f>Sessions[[#This Row],[ProgramCode]] &amp; " – Session " &amp; Sessions[[#This Row],[SessionCode]] &amp; " (Week " &amp; Sessions[[#This Row],[SessionOrder]] &amp; ")"</f>
        <v>WG_4W_B – Session E (Week 4)</v>
      </c>
      <c r="G190" s="2">
        <v>46157</v>
      </c>
    </row>
    <row r="191" spans="1:7" x14ac:dyDescent="0.3">
      <c r="A191" t="s">
        <v>875</v>
      </c>
      <c r="B191" s="5" t="str">
        <f>_xlfn.XLOOKUP(Sessions[[#This Row],[ProgramID]], Programs[ProgramID], Programs[ProgramCode], "")</f>
        <v>WG_4W_B</v>
      </c>
      <c r="C191" s="5" t="s">
        <v>849</v>
      </c>
      <c r="D191" s="5" cm="1">
        <f t="array" ref="D191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91" s="5" t="str">
        <f>Sessions[[#This Row],[ProgramCode]] &amp; "-" &amp; Sessions[[#This Row],[SessionCode]] &amp; "-" &amp; TEXT(Sessions[[#This Row],[SessionOrder]],"00")</f>
        <v>WG_4W_B-A-05</v>
      </c>
      <c r="F191" s="5" t="str">
        <f>Sessions[[#This Row],[ProgramCode]] &amp; " – Session " &amp; Sessions[[#This Row],[SessionCode]] &amp; " (Week " &amp; Sessions[[#This Row],[SessionOrder]] &amp; ")"</f>
        <v>WG_4W_B – Session A (Week 5)</v>
      </c>
      <c r="G191" s="2">
        <v>46158</v>
      </c>
    </row>
    <row r="192" spans="1:7" x14ac:dyDescent="0.3">
      <c r="A192" t="s">
        <v>875</v>
      </c>
      <c r="B192" s="5" t="str">
        <f>_xlfn.XLOOKUP(Sessions[[#This Row],[ProgramID]], Programs[ProgramID], Programs[ProgramCode], "")</f>
        <v>WG_4W_B</v>
      </c>
      <c r="C192" s="5" t="s">
        <v>852</v>
      </c>
      <c r="D192" s="5" cm="1">
        <f t="array" ref="D192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92" s="5" t="str">
        <f>Sessions[[#This Row],[ProgramCode]] &amp; "-" &amp; Sessions[[#This Row],[SessionCode]] &amp; "-" &amp; TEXT(Sessions[[#This Row],[SessionOrder]],"00")</f>
        <v>WG_4W_B-B-05</v>
      </c>
      <c r="F192" s="5" t="str">
        <f>Sessions[[#This Row],[ProgramCode]] &amp; " – Session " &amp; Sessions[[#This Row],[SessionCode]] &amp; " (Week " &amp; Sessions[[#This Row],[SessionOrder]] &amp; ")"</f>
        <v>WG_4W_B – Session B (Week 5)</v>
      </c>
      <c r="G192" s="2">
        <v>46159</v>
      </c>
    </row>
    <row r="193" spans="1:7" x14ac:dyDescent="0.3">
      <c r="A193" t="s">
        <v>875</v>
      </c>
      <c r="B193" s="5" t="str">
        <f>_xlfn.XLOOKUP(Sessions[[#This Row],[ProgramID]], Programs[ProgramID], Programs[ProgramCode], "")</f>
        <v>WG_4W_B</v>
      </c>
      <c r="C193" s="5" t="s">
        <v>855</v>
      </c>
      <c r="D193" s="5" cm="1">
        <f t="array" ref="D193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93" s="5" t="str">
        <f>Sessions[[#This Row],[ProgramCode]] &amp; "-" &amp; Sessions[[#This Row],[SessionCode]] &amp; "-" &amp; TEXT(Sessions[[#This Row],[SessionOrder]],"00")</f>
        <v>WG_4W_B-C-05</v>
      </c>
      <c r="F193" s="5" t="str">
        <f>Sessions[[#This Row],[ProgramCode]] &amp; " – Session " &amp; Sessions[[#This Row],[SessionCode]] &amp; " (Week " &amp; Sessions[[#This Row],[SessionOrder]] &amp; ")"</f>
        <v>WG_4W_B – Session C (Week 5)</v>
      </c>
      <c r="G193" s="2">
        <v>46160</v>
      </c>
    </row>
    <row r="194" spans="1:7" x14ac:dyDescent="0.3">
      <c r="A194" t="s">
        <v>875</v>
      </c>
      <c r="B194" s="5" t="str">
        <f>_xlfn.XLOOKUP(Sessions[[#This Row],[ProgramID]], Programs[ProgramID], Programs[ProgramCode], "")</f>
        <v>WG_4W_B</v>
      </c>
      <c r="C194" s="5" t="s">
        <v>863</v>
      </c>
      <c r="D194" s="5" cm="1">
        <f t="array" ref="D194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94" s="5" t="str">
        <f>Sessions[[#This Row],[ProgramCode]] &amp; "-" &amp; Sessions[[#This Row],[SessionCode]] &amp; "-" &amp; TEXT(Sessions[[#This Row],[SessionOrder]],"00")</f>
        <v>WG_4W_B-D-05</v>
      </c>
      <c r="F194" s="5" t="str">
        <f>Sessions[[#This Row],[ProgramCode]] &amp; " – Session " &amp; Sessions[[#This Row],[SessionCode]] &amp; " (Week " &amp; Sessions[[#This Row],[SessionOrder]] &amp; ")"</f>
        <v>WG_4W_B – Session D (Week 5)</v>
      </c>
      <c r="G194" s="2">
        <v>46161</v>
      </c>
    </row>
    <row r="195" spans="1:7" x14ac:dyDescent="0.3">
      <c r="A195" t="s">
        <v>875</v>
      </c>
      <c r="B195" s="5" t="str">
        <f>_xlfn.XLOOKUP(Sessions[[#This Row],[ProgramID]], Programs[ProgramID], Programs[ProgramCode], "")</f>
        <v>WG_4W_B</v>
      </c>
      <c r="C195" s="5" t="s">
        <v>869</v>
      </c>
      <c r="D195" s="5" cm="1">
        <f t="array" ref="D195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195" s="5" t="str">
        <f>Sessions[[#This Row],[ProgramCode]] &amp; "-" &amp; Sessions[[#This Row],[SessionCode]] &amp; "-" &amp; TEXT(Sessions[[#This Row],[SessionOrder]],"00")</f>
        <v>WG_4W_B-E-05</v>
      </c>
      <c r="F195" s="5" t="str">
        <f>Sessions[[#This Row],[ProgramCode]] &amp; " – Session " &amp; Sessions[[#This Row],[SessionCode]] &amp; " (Week " &amp; Sessions[[#This Row],[SessionOrder]] &amp; ")"</f>
        <v>WG_4W_B – Session E (Week 5)</v>
      </c>
      <c r="G195" s="2">
        <v>46162</v>
      </c>
    </row>
    <row r="196" spans="1:7" x14ac:dyDescent="0.3">
      <c r="A196" t="s">
        <v>876</v>
      </c>
      <c r="B196" s="5" t="str">
        <f>_xlfn.XLOOKUP(Sessions[[#This Row],[ProgramID]], Programs[ProgramID], Programs[ProgramCode], "")</f>
        <v>5W_FS</v>
      </c>
      <c r="C196" s="5" t="s">
        <v>849</v>
      </c>
      <c r="D196" s="5" cm="1">
        <f t="array" ref="D196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96" s="5" t="str">
        <f>Sessions[[#This Row],[ProgramCode]] &amp; "-" &amp; Sessions[[#This Row],[SessionCode]] &amp; "-" &amp; TEXT(Sessions[[#This Row],[SessionOrder]],"00")</f>
        <v>5W_FS-A-01</v>
      </c>
      <c r="F196" s="5" t="str">
        <f>Sessions[[#This Row],[ProgramCode]] &amp; " – Session " &amp; Sessions[[#This Row],[SessionCode]] &amp; " (Week " &amp; Sessions[[#This Row],[SessionOrder]] &amp; ")"</f>
        <v>5W_FS – Session A (Week 1)</v>
      </c>
      <c r="G196" s="2">
        <v>46162</v>
      </c>
    </row>
    <row r="197" spans="1:7" x14ac:dyDescent="0.3">
      <c r="A197" t="s">
        <v>876</v>
      </c>
      <c r="B197" s="5" t="str">
        <f>_xlfn.XLOOKUP(Sessions[[#This Row],[ProgramID]], Programs[ProgramID], Programs[ProgramCode], "")</f>
        <v>5W_FS</v>
      </c>
      <c r="C197" s="5" t="s">
        <v>852</v>
      </c>
      <c r="D197" s="5" cm="1">
        <f t="array" ref="D197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97" s="5" t="str">
        <f>Sessions[[#This Row],[ProgramCode]] &amp; "-" &amp; Sessions[[#This Row],[SessionCode]] &amp; "-" &amp; TEXT(Sessions[[#This Row],[SessionOrder]],"00")</f>
        <v>5W_FS-B-01</v>
      </c>
      <c r="F197" s="5" t="str">
        <f>Sessions[[#This Row],[ProgramCode]] &amp; " – Session " &amp; Sessions[[#This Row],[SessionCode]] &amp; " (Week " &amp; Sessions[[#This Row],[SessionOrder]] &amp; ")"</f>
        <v>5W_FS – Session B (Week 1)</v>
      </c>
      <c r="G197" s="2">
        <v>46162</v>
      </c>
    </row>
    <row r="198" spans="1:7" x14ac:dyDescent="0.3">
      <c r="A198" t="s">
        <v>876</v>
      </c>
      <c r="B198" s="5" t="str">
        <f>_xlfn.XLOOKUP(Sessions[[#This Row],[ProgramID]], Programs[ProgramID], Programs[ProgramCode], "")</f>
        <v>5W_FS</v>
      </c>
      <c r="C198" s="5" t="s">
        <v>855</v>
      </c>
      <c r="D198" s="5" cm="1">
        <f t="array" ref="D198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98" s="5" t="str">
        <f>Sessions[[#This Row],[ProgramCode]] &amp; "-" &amp; Sessions[[#This Row],[SessionCode]] &amp; "-" &amp; TEXT(Sessions[[#This Row],[SessionOrder]],"00")</f>
        <v>5W_FS-C-01</v>
      </c>
      <c r="F198" s="5" t="str">
        <f>Sessions[[#This Row],[ProgramCode]] &amp; " – Session " &amp; Sessions[[#This Row],[SessionCode]] &amp; " (Week " &amp; Sessions[[#This Row],[SessionOrder]] &amp; ")"</f>
        <v>5W_FS – Session C (Week 1)</v>
      </c>
      <c r="G198" s="2">
        <v>46162</v>
      </c>
    </row>
    <row r="199" spans="1:7" x14ac:dyDescent="0.3">
      <c r="A199" t="s">
        <v>876</v>
      </c>
      <c r="B199" s="5" t="str">
        <f>_xlfn.XLOOKUP(Sessions[[#This Row],[ProgramID]], Programs[ProgramID], Programs[ProgramCode], "")</f>
        <v>5W_FS</v>
      </c>
      <c r="C199" s="5" t="s">
        <v>863</v>
      </c>
      <c r="D199" s="5" cm="1">
        <f t="array" ref="D199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199" s="5" t="str">
        <f>Sessions[[#This Row],[ProgramCode]] &amp; "-" &amp; Sessions[[#This Row],[SessionCode]] &amp; "-" &amp; TEXT(Sessions[[#This Row],[SessionOrder]],"00")</f>
        <v>5W_FS-D-01</v>
      </c>
      <c r="F199" s="5" t="str">
        <f>Sessions[[#This Row],[ProgramCode]] &amp; " – Session " &amp; Sessions[[#This Row],[SessionCode]] &amp; " (Week " &amp; Sessions[[#This Row],[SessionOrder]] &amp; ")"</f>
        <v>5W_FS – Session D (Week 1)</v>
      </c>
      <c r="G199" s="2">
        <v>46162</v>
      </c>
    </row>
    <row r="200" spans="1:7" x14ac:dyDescent="0.3">
      <c r="A200" t="s">
        <v>876</v>
      </c>
      <c r="B200" s="5" t="str">
        <f>_xlfn.XLOOKUP(Sessions[[#This Row],[ProgramID]], Programs[ProgramID], Programs[ProgramCode], "")</f>
        <v>5W_FS</v>
      </c>
      <c r="C200" s="5" t="s">
        <v>869</v>
      </c>
      <c r="D200" s="5" cm="1">
        <f t="array" ref="D200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00" s="5" t="str">
        <f>Sessions[[#This Row],[ProgramCode]] &amp; "-" &amp; Sessions[[#This Row],[SessionCode]] &amp; "-" &amp; TEXT(Sessions[[#This Row],[SessionOrder]],"00")</f>
        <v>5W_FS-E-01</v>
      </c>
      <c r="F200" s="5" t="str">
        <f>Sessions[[#This Row],[ProgramCode]] &amp; " – Session " &amp; Sessions[[#This Row],[SessionCode]] &amp; " (Week " &amp; Sessions[[#This Row],[SessionOrder]] &amp; ")"</f>
        <v>5W_FS – Session E (Week 1)</v>
      </c>
      <c r="G200" s="2">
        <v>46162</v>
      </c>
    </row>
    <row r="201" spans="1:7" x14ac:dyDescent="0.3">
      <c r="A201" t="s">
        <v>876</v>
      </c>
      <c r="B201" s="5" t="str">
        <f>_xlfn.XLOOKUP(Sessions[[#This Row],[ProgramID]], Programs[ProgramID], Programs[ProgramCode], "")</f>
        <v>5W_FS</v>
      </c>
      <c r="C201" s="5" t="s">
        <v>849</v>
      </c>
      <c r="D201" s="5" cm="1">
        <f t="array" ref="D201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01" s="5" t="str">
        <f>Sessions[[#This Row],[ProgramCode]] &amp; "-" &amp; Sessions[[#This Row],[SessionCode]] &amp; "-" &amp; TEXT(Sessions[[#This Row],[SessionOrder]],"00")</f>
        <v>5W_FS-A-02</v>
      </c>
      <c r="F201" s="5" t="str">
        <f>Sessions[[#This Row],[ProgramCode]] &amp; " – Session " &amp; Sessions[[#This Row],[SessionCode]] &amp; " (Week " &amp; Sessions[[#This Row],[SessionOrder]] &amp; ")"</f>
        <v>5W_FS – Session A (Week 2)</v>
      </c>
      <c r="G201" s="2">
        <v>46162</v>
      </c>
    </row>
    <row r="202" spans="1:7" x14ac:dyDescent="0.3">
      <c r="A202" t="s">
        <v>876</v>
      </c>
      <c r="B202" s="5" t="str">
        <f>_xlfn.XLOOKUP(Sessions[[#This Row],[ProgramID]], Programs[ProgramID], Programs[ProgramCode], "")</f>
        <v>5W_FS</v>
      </c>
      <c r="C202" s="5" t="s">
        <v>852</v>
      </c>
      <c r="D202" s="5" cm="1">
        <f t="array" ref="D202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02" s="5" t="str">
        <f>Sessions[[#This Row],[ProgramCode]] &amp; "-" &amp; Sessions[[#This Row],[SessionCode]] &amp; "-" &amp; TEXT(Sessions[[#This Row],[SessionOrder]],"00")</f>
        <v>5W_FS-B-02</v>
      </c>
      <c r="F202" s="5" t="str">
        <f>Sessions[[#This Row],[ProgramCode]] &amp; " – Session " &amp; Sessions[[#This Row],[SessionCode]] &amp; " (Week " &amp; Sessions[[#This Row],[SessionOrder]] &amp; ")"</f>
        <v>5W_FS – Session B (Week 2)</v>
      </c>
      <c r="G202" s="2">
        <v>46162</v>
      </c>
    </row>
    <row r="203" spans="1:7" x14ac:dyDescent="0.3">
      <c r="A203" t="s">
        <v>876</v>
      </c>
      <c r="B203" s="5" t="str">
        <f>_xlfn.XLOOKUP(Sessions[[#This Row],[ProgramID]], Programs[ProgramID], Programs[ProgramCode], "")</f>
        <v>5W_FS</v>
      </c>
      <c r="C203" s="5" t="s">
        <v>855</v>
      </c>
      <c r="D203" s="5" cm="1">
        <f t="array" ref="D203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03" s="5" t="str">
        <f>Sessions[[#This Row],[ProgramCode]] &amp; "-" &amp; Sessions[[#This Row],[SessionCode]] &amp; "-" &amp; TEXT(Sessions[[#This Row],[SessionOrder]],"00")</f>
        <v>5W_FS-C-02</v>
      </c>
      <c r="F203" s="5" t="str">
        <f>Sessions[[#This Row],[ProgramCode]] &amp; " – Session " &amp; Sessions[[#This Row],[SessionCode]] &amp; " (Week " &amp; Sessions[[#This Row],[SessionOrder]] &amp; ")"</f>
        <v>5W_FS – Session C (Week 2)</v>
      </c>
      <c r="G203" s="2">
        <v>46162</v>
      </c>
    </row>
    <row r="204" spans="1:7" x14ac:dyDescent="0.3">
      <c r="A204" t="s">
        <v>876</v>
      </c>
      <c r="B204" s="5" t="str">
        <f>_xlfn.XLOOKUP(Sessions[[#This Row],[ProgramID]], Programs[ProgramID], Programs[ProgramCode], "")</f>
        <v>5W_FS</v>
      </c>
      <c r="C204" s="5" t="s">
        <v>863</v>
      </c>
      <c r="D204" s="5" cm="1">
        <f t="array" ref="D204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04" s="5" t="str">
        <f>Sessions[[#This Row],[ProgramCode]] &amp; "-" &amp; Sessions[[#This Row],[SessionCode]] &amp; "-" &amp; TEXT(Sessions[[#This Row],[SessionOrder]],"00")</f>
        <v>5W_FS-D-02</v>
      </c>
      <c r="F204" s="5" t="str">
        <f>Sessions[[#This Row],[ProgramCode]] &amp; " – Session " &amp; Sessions[[#This Row],[SessionCode]] &amp; " (Week " &amp; Sessions[[#This Row],[SessionOrder]] &amp; ")"</f>
        <v>5W_FS – Session D (Week 2)</v>
      </c>
      <c r="G204" s="2">
        <v>46162</v>
      </c>
    </row>
    <row r="205" spans="1:7" x14ac:dyDescent="0.3">
      <c r="A205" t="s">
        <v>876</v>
      </c>
      <c r="B205" s="5" t="str">
        <f>_xlfn.XLOOKUP(Sessions[[#This Row],[ProgramID]], Programs[ProgramID], Programs[ProgramCode], "")</f>
        <v>5W_FS</v>
      </c>
      <c r="C205" s="5" t="s">
        <v>869</v>
      </c>
      <c r="D205" s="5" cm="1">
        <f t="array" ref="D205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05" s="5" t="str">
        <f>Sessions[[#This Row],[ProgramCode]] &amp; "-" &amp; Sessions[[#This Row],[SessionCode]] &amp; "-" &amp; TEXT(Sessions[[#This Row],[SessionOrder]],"00")</f>
        <v>5W_FS-E-02</v>
      </c>
      <c r="F205" s="5" t="str">
        <f>Sessions[[#This Row],[ProgramCode]] &amp; " – Session " &amp; Sessions[[#This Row],[SessionCode]] &amp; " (Week " &amp; Sessions[[#This Row],[SessionOrder]] &amp; ")"</f>
        <v>5W_FS – Session E (Week 2)</v>
      </c>
      <c r="G205" s="2">
        <v>46162</v>
      </c>
    </row>
    <row r="206" spans="1:7" x14ac:dyDescent="0.3">
      <c r="A206" t="s">
        <v>876</v>
      </c>
      <c r="B206" s="5" t="str">
        <f>_xlfn.XLOOKUP(Sessions[[#This Row],[ProgramID]], Programs[ProgramID], Programs[ProgramCode], "")</f>
        <v>5W_FS</v>
      </c>
      <c r="C206" s="5" t="s">
        <v>849</v>
      </c>
      <c r="D206" s="5" cm="1">
        <f t="array" ref="D206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06" s="5" t="str">
        <f>Sessions[[#This Row],[ProgramCode]] &amp; "-" &amp; Sessions[[#This Row],[SessionCode]] &amp; "-" &amp; TEXT(Sessions[[#This Row],[SessionOrder]],"00")</f>
        <v>5W_FS-A-03</v>
      </c>
      <c r="F206" s="5" t="str">
        <f>Sessions[[#This Row],[ProgramCode]] &amp; " – Session " &amp; Sessions[[#This Row],[SessionCode]] &amp; " (Week " &amp; Sessions[[#This Row],[SessionOrder]] &amp; ")"</f>
        <v>5W_FS – Session A (Week 3)</v>
      </c>
      <c r="G206" s="2">
        <v>46162</v>
      </c>
    </row>
    <row r="207" spans="1:7" x14ac:dyDescent="0.3">
      <c r="A207" t="s">
        <v>876</v>
      </c>
      <c r="B207" s="5" t="str">
        <f>_xlfn.XLOOKUP(Sessions[[#This Row],[ProgramID]], Programs[ProgramID], Programs[ProgramCode], "")</f>
        <v>5W_FS</v>
      </c>
      <c r="C207" s="5" t="s">
        <v>852</v>
      </c>
      <c r="D207" s="5" cm="1">
        <f t="array" ref="D207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07" s="5" t="str">
        <f>Sessions[[#This Row],[ProgramCode]] &amp; "-" &amp; Sessions[[#This Row],[SessionCode]] &amp; "-" &amp; TEXT(Sessions[[#This Row],[SessionOrder]],"00")</f>
        <v>5W_FS-B-03</v>
      </c>
      <c r="F207" s="5" t="str">
        <f>Sessions[[#This Row],[ProgramCode]] &amp; " – Session " &amp; Sessions[[#This Row],[SessionCode]] &amp; " (Week " &amp; Sessions[[#This Row],[SessionOrder]] &amp; ")"</f>
        <v>5W_FS – Session B (Week 3)</v>
      </c>
      <c r="G207" s="2">
        <v>46162</v>
      </c>
    </row>
    <row r="208" spans="1:7" x14ac:dyDescent="0.3">
      <c r="A208" t="s">
        <v>876</v>
      </c>
      <c r="B208" s="5" t="str">
        <f>_xlfn.XLOOKUP(Sessions[[#This Row],[ProgramID]], Programs[ProgramID], Programs[ProgramCode], "")</f>
        <v>5W_FS</v>
      </c>
      <c r="C208" s="5" t="s">
        <v>855</v>
      </c>
      <c r="D208" s="5" cm="1">
        <f t="array" ref="D208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08" s="5" t="str">
        <f>Sessions[[#This Row],[ProgramCode]] &amp; "-" &amp; Sessions[[#This Row],[SessionCode]] &amp; "-" &amp; TEXT(Sessions[[#This Row],[SessionOrder]],"00")</f>
        <v>5W_FS-C-03</v>
      </c>
      <c r="F208" s="5" t="str">
        <f>Sessions[[#This Row],[ProgramCode]] &amp; " – Session " &amp; Sessions[[#This Row],[SessionCode]] &amp; " (Week " &amp; Sessions[[#This Row],[SessionOrder]] &amp; ")"</f>
        <v>5W_FS – Session C (Week 3)</v>
      </c>
      <c r="G208" s="2">
        <v>46162</v>
      </c>
    </row>
    <row r="209" spans="1:7" x14ac:dyDescent="0.3">
      <c r="A209" t="s">
        <v>876</v>
      </c>
      <c r="B209" s="5" t="str">
        <f>_xlfn.XLOOKUP(Sessions[[#This Row],[ProgramID]], Programs[ProgramID], Programs[ProgramCode], "")</f>
        <v>5W_FS</v>
      </c>
      <c r="C209" s="5" t="s">
        <v>863</v>
      </c>
      <c r="D209" s="5" cm="1">
        <f t="array" ref="D209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09" s="5" t="str">
        <f>Sessions[[#This Row],[ProgramCode]] &amp; "-" &amp; Sessions[[#This Row],[SessionCode]] &amp; "-" &amp; TEXT(Sessions[[#This Row],[SessionOrder]],"00")</f>
        <v>5W_FS-D-03</v>
      </c>
      <c r="F209" s="5" t="str">
        <f>Sessions[[#This Row],[ProgramCode]] &amp; " – Session " &amp; Sessions[[#This Row],[SessionCode]] &amp; " (Week " &amp; Sessions[[#This Row],[SessionOrder]] &amp; ")"</f>
        <v>5W_FS – Session D (Week 3)</v>
      </c>
      <c r="G209" s="2">
        <v>46162</v>
      </c>
    </row>
    <row r="210" spans="1:7" x14ac:dyDescent="0.3">
      <c r="A210" t="s">
        <v>876</v>
      </c>
      <c r="B210" s="5" t="str">
        <f>_xlfn.XLOOKUP(Sessions[[#This Row],[ProgramID]], Programs[ProgramID], Programs[ProgramCode], "")</f>
        <v>5W_FS</v>
      </c>
      <c r="C210" s="5" t="s">
        <v>869</v>
      </c>
      <c r="D210" s="5" cm="1">
        <f t="array" ref="D210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10" s="5" t="str">
        <f>Sessions[[#This Row],[ProgramCode]] &amp; "-" &amp; Sessions[[#This Row],[SessionCode]] &amp; "-" &amp; TEXT(Sessions[[#This Row],[SessionOrder]],"00")</f>
        <v>5W_FS-E-03</v>
      </c>
      <c r="F210" s="5" t="str">
        <f>Sessions[[#This Row],[ProgramCode]] &amp; " – Session " &amp; Sessions[[#This Row],[SessionCode]] &amp; " (Week " &amp; Sessions[[#This Row],[SessionOrder]] &amp; ")"</f>
        <v>5W_FS – Session E (Week 3)</v>
      </c>
      <c r="G210" s="2">
        <v>46162</v>
      </c>
    </row>
    <row r="211" spans="1:7" x14ac:dyDescent="0.3">
      <c r="A211" t="s">
        <v>876</v>
      </c>
      <c r="B211" s="5" t="str">
        <f>_xlfn.XLOOKUP(Sessions[[#This Row],[ProgramID]], Programs[ProgramID], Programs[ProgramCode], "")</f>
        <v>5W_FS</v>
      </c>
      <c r="C211" s="5" t="s">
        <v>849</v>
      </c>
      <c r="D211" s="5" cm="1">
        <f t="array" ref="D211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11" s="5" t="str">
        <f>Sessions[[#This Row],[ProgramCode]] &amp; "-" &amp; Sessions[[#This Row],[SessionCode]] &amp; "-" &amp; TEXT(Sessions[[#This Row],[SessionOrder]],"00")</f>
        <v>5W_FS-A-04</v>
      </c>
      <c r="F211" s="5" t="str">
        <f>Sessions[[#This Row],[ProgramCode]] &amp; " – Session " &amp; Sessions[[#This Row],[SessionCode]] &amp; " (Week " &amp; Sessions[[#This Row],[SessionOrder]] &amp; ")"</f>
        <v>5W_FS – Session A (Week 4)</v>
      </c>
      <c r="G211" s="2">
        <v>46162</v>
      </c>
    </row>
    <row r="212" spans="1:7" x14ac:dyDescent="0.3">
      <c r="A212" t="s">
        <v>876</v>
      </c>
      <c r="B212" s="5" t="str">
        <f>_xlfn.XLOOKUP(Sessions[[#This Row],[ProgramID]], Programs[ProgramID], Programs[ProgramCode], "")</f>
        <v>5W_FS</v>
      </c>
      <c r="C212" s="5" t="s">
        <v>852</v>
      </c>
      <c r="D212" s="5" cm="1">
        <f t="array" ref="D212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12" s="5" t="str">
        <f>Sessions[[#This Row],[ProgramCode]] &amp; "-" &amp; Sessions[[#This Row],[SessionCode]] &amp; "-" &amp; TEXT(Sessions[[#This Row],[SessionOrder]],"00")</f>
        <v>5W_FS-B-04</v>
      </c>
      <c r="F212" s="5" t="str">
        <f>Sessions[[#This Row],[ProgramCode]] &amp; " – Session " &amp; Sessions[[#This Row],[SessionCode]] &amp; " (Week " &amp; Sessions[[#This Row],[SessionOrder]] &amp; ")"</f>
        <v>5W_FS – Session B (Week 4)</v>
      </c>
      <c r="G212" s="2">
        <v>46162</v>
      </c>
    </row>
    <row r="213" spans="1:7" x14ac:dyDescent="0.3">
      <c r="A213" t="s">
        <v>876</v>
      </c>
      <c r="B213" s="5" t="str">
        <f>_xlfn.XLOOKUP(Sessions[[#This Row],[ProgramID]], Programs[ProgramID], Programs[ProgramCode], "")</f>
        <v>5W_FS</v>
      </c>
      <c r="C213" s="5" t="s">
        <v>855</v>
      </c>
      <c r="D213" s="5" cm="1">
        <f t="array" ref="D213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13" s="5" t="str">
        <f>Sessions[[#This Row],[ProgramCode]] &amp; "-" &amp; Sessions[[#This Row],[SessionCode]] &amp; "-" &amp; TEXT(Sessions[[#This Row],[SessionOrder]],"00")</f>
        <v>5W_FS-C-04</v>
      </c>
      <c r="F213" s="5" t="str">
        <f>Sessions[[#This Row],[ProgramCode]] &amp; " – Session " &amp; Sessions[[#This Row],[SessionCode]] &amp; " (Week " &amp; Sessions[[#This Row],[SessionOrder]] &amp; ")"</f>
        <v>5W_FS – Session C (Week 4)</v>
      </c>
      <c r="G213" s="2">
        <v>46162</v>
      </c>
    </row>
    <row r="214" spans="1:7" x14ac:dyDescent="0.3">
      <c r="A214" t="s">
        <v>876</v>
      </c>
      <c r="B214" s="5" t="str">
        <f>_xlfn.XLOOKUP(Sessions[[#This Row],[ProgramID]], Programs[ProgramID], Programs[ProgramCode], "")</f>
        <v>5W_FS</v>
      </c>
      <c r="C214" s="5" t="s">
        <v>863</v>
      </c>
      <c r="D214" s="5" cm="1">
        <f t="array" ref="D214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14" s="5" t="str">
        <f>Sessions[[#This Row],[ProgramCode]] &amp; "-" &amp; Sessions[[#This Row],[SessionCode]] &amp; "-" &amp; TEXT(Sessions[[#This Row],[SessionOrder]],"00")</f>
        <v>5W_FS-D-04</v>
      </c>
      <c r="F214" s="5" t="str">
        <f>Sessions[[#This Row],[ProgramCode]] &amp; " – Session " &amp; Sessions[[#This Row],[SessionCode]] &amp; " (Week " &amp; Sessions[[#This Row],[SessionOrder]] &amp; ")"</f>
        <v>5W_FS – Session D (Week 4)</v>
      </c>
      <c r="G214" s="2">
        <v>46162</v>
      </c>
    </row>
    <row r="215" spans="1:7" x14ac:dyDescent="0.3">
      <c r="A215" t="s">
        <v>876</v>
      </c>
      <c r="B215" s="5" t="str">
        <f>_xlfn.XLOOKUP(Sessions[[#This Row],[ProgramID]], Programs[ProgramID], Programs[ProgramCode], "")</f>
        <v>5W_FS</v>
      </c>
      <c r="C215" s="5" t="s">
        <v>869</v>
      </c>
      <c r="D215" s="5" cm="1">
        <f t="array" ref="D215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15" s="5" t="str">
        <f>Sessions[[#This Row],[ProgramCode]] &amp; "-" &amp; Sessions[[#This Row],[SessionCode]] &amp; "-" &amp; TEXT(Sessions[[#This Row],[SessionOrder]],"00")</f>
        <v>5W_FS-E-04</v>
      </c>
      <c r="F215" s="5" t="str">
        <f>Sessions[[#This Row],[ProgramCode]] &amp; " – Session " &amp; Sessions[[#This Row],[SessionCode]] &amp; " (Week " &amp; Sessions[[#This Row],[SessionOrder]] &amp; ")"</f>
        <v>5W_FS – Session E (Week 4)</v>
      </c>
      <c r="G215" s="2">
        <v>46162</v>
      </c>
    </row>
    <row r="216" spans="1:7" x14ac:dyDescent="0.3">
      <c r="A216" t="s">
        <v>876</v>
      </c>
      <c r="B216" s="5" t="str">
        <f>_xlfn.XLOOKUP(Sessions[[#This Row],[ProgramID]], Programs[ProgramID], Programs[ProgramCode], "")</f>
        <v>5W_FS</v>
      </c>
      <c r="C216" s="5" t="s">
        <v>849</v>
      </c>
      <c r="D216" s="5" cm="1">
        <f t="array" ref="D216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16" s="5" t="str">
        <f>Sessions[[#This Row],[ProgramCode]] &amp; "-" &amp; Sessions[[#This Row],[SessionCode]] &amp; "-" &amp; TEXT(Sessions[[#This Row],[SessionOrder]],"00")</f>
        <v>5W_FS-A-05</v>
      </c>
      <c r="F216" s="5" t="str">
        <f>Sessions[[#This Row],[ProgramCode]] &amp; " – Session " &amp; Sessions[[#This Row],[SessionCode]] &amp; " (Week " &amp; Sessions[[#This Row],[SessionOrder]] &amp; ")"</f>
        <v>5W_FS – Session A (Week 5)</v>
      </c>
      <c r="G216" s="2">
        <v>46162</v>
      </c>
    </row>
    <row r="217" spans="1:7" x14ac:dyDescent="0.3">
      <c r="A217" t="s">
        <v>876</v>
      </c>
      <c r="B217" s="5" t="str">
        <f>_xlfn.XLOOKUP(Sessions[[#This Row],[ProgramID]], Programs[ProgramID], Programs[ProgramCode], "")</f>
        <v>5W_FS</v>
      </c>
      <c r="C217" s="5" t="s">
        <v>852</v>
      </c>
      <c r="D217" s="5" cm="1">
        <f t="array" ref="D217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17" s="5" t="str">
        <f>Sessions[[#This Row],[ProgramCode]] &amp; "-" &amp; Sessions[[#This Row],[SessionCode]] &amp; "-" &amp; TEXT(Sessions[[#This Row],[SessionOrder]],"00")</f>
        <v>5W_FS-B-05</v>
      </c>
      <c r="F217" s="5" t="str">
        <f>Sessions[[#This Row],[ProgramCode]] &amp; " – Session " &amp; Sessions[[#This Row],[SessionCode]] &amp; " (Week " &amp; Sessions[[#This Row],[SessionOrder]] &amp; ")"</f>
        <v>5W_FS – Session B (Week 5)</v>
      </c>
      <c r="G217" s="2">
        <v>46162</v>
      </c>
    </row>
    <row r="218" spans="1:7" x14ac:dyDescent="0.3">
      <c r="A218" t="s">
        <v>876</v>
      </c>
      <c r="B218" s="5" t="str">
        <f>_xlfn.XLOOKUP(Sessions[[#This Row],[ProgramID]], Programs[ProgramID], Programs[ProgramCode], "")</f>
        <v>5W_FS</v>
      </c>
      <c r="C218" s="5" t="s">
        <v>855</v>
      </c>
      <c r="D218" s="5" cm="1">
        <f t="array" ref="D218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18" s="5" t="str">
        <f>Sessions[[#This Row],[ProgramCode]] &amp; "-" &amp; Sessions[[#This Row],[SessionCode]] &amp; "-" &amp; TEXT(Sessions[[#This Row],[SessionOrder]],"00")</f>
        <v>5W_FS-C-05</v>
      </c>
      <c r="F218" s="5" t="str">
        <f>Sessions[[#This Row],[ProgramCode]] &amp; " – Session " &amp; Sessions[[#This Row],[SessionCode]] &amp; " (Week " &amp; Sessions[[#This Row],[SessionOrder]] &amp; ")"</f>
        <v>5W_FS – Session C (Week 5)</v>
      </c>
      <c r="G218" s="2">
        <v>46162</v>
      </c>
    </row>
    <row r="219" spans="1:7" x14ac:dyDescent="0.3">
      <c r="A219" t="s">
        <v>876</v>
      </c>
      <c r="B219" s="5" t="str">
        <f>_xlfn.XLOOKUP(Sessions[[#This Row],[ProgramID]], Programs[ProgramID], Programs[ProgramCode], "")</f>
        <v>5W_FS</v>
      </c>
      <c r="C219" s="5" t="s">
        <v>863</v>
      </c>
      <c r="D219" s="5" cm="1">
        <f t="array" ref="D219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19" s="5" t="str">
        <f>Sessions[[#This Row],[ProgramCode]] &amp; "-" &amp; Sessions[[#This Row],[SessionCode]] &amp; "-" &amp; TEXT(Sessions[[#This Row],[SessionOrder]],"00")</f>
        <v>5W_FS-D-05</v>
      </c>
      <c r="F219" s="5" t="str">
        <f>Sessions[[#This Row],[ProgramCode]] &amp; " – Session " &amp; Sessions[[#This Row],[SessionCode]] &amp; " (Week " &amp; Sessions[[#This Row],[SessionOrder]] &amp; ")"</f>
        <v>5W_FS – Session D (Week 5)</v>
      </c>
      <c r="G219" s="2">
        <v>46162</v>
      </c>
    </row>
    <row r="220" spans="1:7" x14ac:dyDescent="0.3">
      <c r="A220" t="s">
        <v>876</v>
      </c>
      <c r="B220" s="5" t="str">
        <f>_xlfn.XLOOKUP(Sessions[[#This Row],[ProgramID]], Programs[ProgramID], Programs[ProgramCode], "")</f>
        <v>5W_FS</v>
      </c>
      <c r="C220" s="5" t="s">
        <v>869</v>
      </c>
      <c r="D220" s="5" cm="1">
        <f t="array" ref="D220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20" s="5" t="str">
        <f>Sessions[[#This Row],[ProgramCode]] &amp; "-" &amp; Sessions[[#This Row],[SessionCode]] &amp; "-" &amp; TEXT(Sessions[[#This Row],[SessionOrder]],"00")</f>
        <v>5W_FS-E-05</v>
      </c>
      <c r="F220" s="5" t="str">
        <f>Sessions[[#This Row],[ProgramCode]] &amp; " – Session " &amp; Sessions[[#This Row],[SessionCode]] &amp; " (Week " &amp; Sessions[[#This Row],[SessionOrder]] &amp; ")"</f>
        <v>5W_FS – Session E (Week 5)</v>
      </c>
      <c r="G220" s="2">
        <v>46162</v>
      </c>
    </row>
    <row r="221" spans="1:7" x14ac:dyDescent="0.3">
      <c r="A221" t="s">
        <v>1405</v>
      </c>
      <c r="B221" s="5" t="str">
        <f>_xlfn.XLOOKUP(Sessions[[#This Row],[ProgramID]], Programs[ProgramID], Programs[ProgramCode], "")</f>
        <v>10W_SQUAT_2</v>
      </c>
      <c r="C221" s="5" t="s">
        <v>849</v>
      </c>
      <c r="D221" s="5">
        <f t="array" ref="D221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1" s="5" t="str">
        <f>Sessions[[#This Row],[ProgramCode]] &amp; "-" &amp; Sessions[[#This Row],[SessionCode]] &amp; "-" &amp; TEXT(Sessions[[#This Row],[SessionOrder]],"00")</f>
        <v>10W_SQUAT_2-A-01</v>
      </c>
      <c r="F221" s="5" t="str">
        <f>Sessions[[#This Row],[ProgramCode]] &amp; " – Session " &amp; Sessions[[#This Row],[SessionCode]] &amp; " (Week " &amp; Sessions[[#This Row],[SessionOrder]] &amp; ")"</f>
        <v>10W_SQUAT_2 – Session A (Week 1)</v>
      </c>
      <c r="G221" s="2">
        <v>46034</v>
      </c>
    </row>
    <row r="222" spans="1:7" x14ac:dyDescent="0.3">
      <c r="A222" t="s">
        <v>1405</v>
      </c>
      <c r="B222" s="5" t="str">
        <f>_xlfn.XLOOKUP(Sessions[[#This Row],[ProgramID]], Programs[ProgramID], Programs[ProgramCode], "")</f>
        <v>10W_SQUAT_2</v>
      </c>
      <c r="C222" s="5" t="s">
        <v>852</v>
      </c>
      <c r="D222" s="5">
        <f t="array" ref="D22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2" s="5" t="str">
        <f>Sessions[[#This Row],[ProgramCode]] &amp; "-" &amp; Sessions[[#This Row],[SessionCode]] &amp; "-" &amp; TEXT(Sessions[[#This Row],[SessionOrder]],"00")</f>
        <v>10W_SQUAT_2-B-01</v>
      </c>
      <c r="F222" s="5" t="str">
        <f>Sessions[[#This Row],[ProgramCode]] &amp; " – Session " &amp; Sessions[[#This Row],[SessionCode]] &amp; " (Week " &amp; Sessions[[#This Row],[SessionOrder]] &amp; ")"</f>
        <v>10W_SQUAT_2 – Session B (Week 1)</v>
      </c>
      <c r="G222" s="2">
        <v>46035</v>
      </c>
    </row>
    <row r="223" spans="1:7" x14ac:dyDescent="0.3">
      <c r="A223" t="s">
        <v>1405</v>
      </c>
      <c r="B223" s="5" t="str">
        <f>_xlfn.XLOOKUP(Sessions[[#This Row],[ProgramID]], Programs[ProgramID], Programs[ProgramCode], "")</f>
        <v>10W_SQUAT_2</v>
      </c>
      <c r="C223" s="5" t="s">
        <v>855</v>
      </c>
      <c r="D223" s="5">
        <f t="array" ref="D22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3" s="5" t="str">
        <f>Sessions[[#This Row],[ProgramCode]] &amp; "-" &amp; Sessions[[#This Row],[SessionCode]] &amp; "-" &amp; TEXT(Sessions[[#This Row],[SessionOrder]],"00")</f>
        <v>10W_SQUAT_2-C-01</v>
      </c>
      <c r="F223" s="5" t="str">
        <f>Sessions[[#This Row],[ProgramCode]] &amp; " – Session " &amp; Sessions[[#This Row],[SessionCode]] &amp; " (Week " &amp; Sessions[[#This Row],[SessionOrder]] &amp; ")"</f>
        <v>10W_SQUAT_2 – Session C (Week 1)</v>
      </c>
      <c r="G223" s="2">
        <v>46036</v>
      </c>
    </row>
    <row r="224" spans="1:7" x14ac:dyDescent="0.3">
      <c r="A224" t="s">
        <v>1405</v>
      </c>
      <c r="B224" s="5" t="str">
        <f>_xlfn.XLOOKUP(Sessions[[#This Row],[ProgramID]], Programs[ProgramID], Programs[ProgramCode], "")</f>
        <v>10W_SQUAT_2</v>
      </c>
      <c r="C224" s="5" t="s">
        <v>863</v>
      </c>
      <c r="D224" s="5">
        <f t="array" ref="D224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4" s="5" t="str">
        <f>Sessions[[#This Row],[ProgramCode]] &amp; "-" &amp; Sessions[[#This Row],[SessionCode]] &amp; "-" &amp; TEXT(Sessions[[#This Row],[SessionOrder]],"00")</f>
        <v>10W_SQUAT_2-D-01</v>
      </c>
      <c r="F224" s="5" t="str">
        <f>Sessions[[#This Row],[ProgramCode]] &amp; " – Session " &amp; Sessions[[#This Row],[SessionCode]] &amp; " (Week " &amp; Sessions[[#This Row],[SessionOrder]] &amp; ")"</f>
        <v>10W_SQUAT_2 – Session D (Week 1)</v>
      </c>
      <c r="G224" s="2">
        <v>46037</v>
      </c>
    </row>
    <row r="225" spans="1:7" x14ac:dyDescent="0.3">
      <c r="A225" t="s">
        <v>1405</v>
      </c>
      <c r="B225" s="5" t="str">
        <f>_xlfn.XLOOKUP(Sessions[[#This Row],[ProgramID]], Programs[ProgramID], Programs[ProgramCode], "")</f>
        <v>10W_SQUAT_2</v>
      </c>
      <c r="C225" s="5" t="s">
        <v>869</v>
      </c>
      <c r="D225" s="5">
        <f t="array" ref="D225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5" s="5" t="str">
        <f>Sessions[[#This Row],[ProgramCode]] &amp; "-" &amp; Sessions[[#This Row],[SessionCode]] &amp; "-" &amp; TEXT(Sessions[[#This Row],[SessionOrder]],"00")</f>
        <v>10W_SQUAT_2-E-01</v>
      </c>
      <c r="F225" s="5" t="str">
        <f>Sessions[[#This Row],[ProgramCode]] &amp; " – Session " &amp; Sessions[[#This Row],[SessionCode]] &amp; " (Week " &amp; Sessions[[#This Row],[SessionOrder]] &amp; ")"</f>
        <v>10W_SQUAT_2 – Session E (Week 1)</v>
      </c>
      <c r="G225" s="2">
        <v>46038</v>
      </c>
    </row>
    <row r="226" spans="1:7" x14ac:dyDescent="0.3">
      <c r="A226" t="s">
        <v>1405</v>
      </c>
      <c r="B226" s="5" t="str">
        <f>_xlfn.XLOOKUP(Sessions[[#This Row],[ProgramID]], Programs[ProgramID], Programs[ProgramCode], "")</f>
        <v>10W_SQUAT_2</v>
      </c>
      <c r="C226" s="5" t="s">
        <v>870</v>
      </c>
      <c r="D226" s="5">
        <f t="array" ref="D226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26" s="5" t="str">
        <f>Sessions[[#This Row],[ProgramCode]] &amp; "-" &amp; Sessions[[#This Row],[SessionCode]] &amp; "-" &amp; TEXT(Sessions[[#This Row],[SessionOrder]],"00")</f>
        <v>10W_SQUAT_2-F-01</v>
      </c>
      <c r="F226" s="5" t="str">
        <f>Sessions[[#This Row],[ProgramCode]] &amp; " – Session " &amp; Sessions[[#This Row],[SessionCode]] &amp; " (Week " &amp; Sessions[[#This Row],[SessionOrder]] &amp; ")"</f>
        <v>10W_SQUAT_2 – Session F (Week 1)</v>
      </c>
      <c r="G226" s="2">
        <v>46039</v>
      </c>
    </row>
    <row r="227" spans="1:7" x14ac:dyDescent="0.3">
      <c r="A227" t="s">
        <v>1405</v>
      </c>
      <c r="B227" s="5" t="str">
        <f>_xlfn.XLOOKUP(Sessions[[#This Row],[ProgramID]], Programs[ProgramID], Programs[ProgramCode], "")</f>
        <v>10W_SQUAT_2</v>
      </c>
      <c r="C227" s="5" t="s">
        <v>849</v>
      </c>
      <c r="D227" s="5">
        <f t="array" ref="D22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27" s="5" t="str">
        <f>Sessions[[#This Row],[ProgramCode]] &amp; "-" &amp; Sessions[[#This Row],[SessionCode]] &amp; "-" &amp; TEXT(Sessions[[#This Row],[SessionOrder]],"00")</f>
        <v>10W_SQUAT_2-A-02</v>
      </c>
      <c r="F227" s="5" t="str">
        <f>Sessions[[#This Row],[ProgramCode]] &amp; " – Session " &amp; Sessions[[#This Row],[SessionCode]] &amp; " (Week " &amp; Sessions[[#This Row],[SessionOrder]] &amp; ")"</f>
        <v>10W_SQUAT_2 – Session A (Week 2)</v>
      </c>
      <c r="G227" s="2">
        <v>46040</v>
      </c>
    </row>
    <row r="228" spans="1:7" x14ac:dyDescent="0.3">
      <c r="A228" t="s">
        <v>1405</v>
      </c>
      <c r="B228" s="5" t="str">
        <f>_xlfn.XLOOKUP(Sessions[[#This Row],[ProgramID]], Programs[ProgramID], Programs[ProgramCode], "")</f>
        <v>10W_SQUAT_2</v>
      </c>
      <c r="C228" s="5" t="s">
        <v>852</v>
      </c>
      <c r="D228" s="5">
        <f t="array" ref="D228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28" s="5" t="str">
        <f>Sessions[[#This Row],[ProgramCode]] &amp; "-" &amp; Sessions[[#This Row],[SessionCode]] &amp; "-" &amp; TEXT(Sessions[[#This Row],[SessionOrder]],"00")</f>
        <v>10W_SQUAT_2-B-02</v>
      </c>
      <c r="F228" s="5" t="str">
        <f>Sessions[[#This Row],[ProgramCode]] &amp; " – Session " &amp; Sessions[[#This Row],[SessionCode]] &amp; " (Week " &amp; Sessions[[#This Row],[SessionOrder]] &amp; ")"</f>
        <v>10W_SQUAT_2 – Session B (Week 2)</v>
      </c>
      <c r="G228" s="2">
        <v>46041</v>
      </c>
    </row>
    <row r="229" spans="1:7" x14ac:dyDescent="0.3">
      <c r="A229" t="s">
        <v>1405</v>
      </c>
      <c r="B229" s="5" t="str">
        <f>_xlfn.XLOOKUP(Sessions[[#This Row],[ProgramID]], Programs[ProgramID], Programs[ProgramCode], "")</f>
        <v>10W_SQUAT_2</v>
      </c>
      <c r="C229" s="5" t="s">
        <v>855</v>
      </c>
      <c r="D229" s="5">
        <f t="array" ref="D229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29" s="5" t="str">
        <f>Sessions[[#This Row],[ProgramCode]] &amp; "-" &amp; Sessions[[#This Row],[SessionCode]] &amp; "-" &amp; TEXT(Sessions[[#This Row],[SessionOrder]],"00")</f>
        <v>10W_SQUAT_2-C-02</v>
      </c>
      <c r="F229" s="5" t="str">
        <f>Sessions[[#This Row],[ProgramCode]] &amp; " – Session " &amp; Sessions[[#This Row],[SessionCode]] &amp; " (Week " &amp; Sessions[[#This Row],[SessionOrder]] &amp; ")"</f>
        <v>10W_SQUAT_2 – Session C (Week 2)</v>
      </c>
      <c r="G229" s="2">
        <v>46042</v>
      </c>
    </row>
    <row r="230" spans="1:7" x14ac:dyDescent="0.3">
      <c r="A230" t="s">
        <v>1405</v>
      </c>
      <c r="B230" s="5" t="str">
        <f>_xlfn.XLOOKUP(Sessions[[#This Row],[ProgramID]], Programs[ProgramID], Programs[ProgramCode], "")</f>
        <v>10W_SQUAT_2</v>
      </c>
      <c r="C230" s="5" t="s">
        <v>863</v>
      </c>
      <c r="D230" s="5">
        <f t="array" ref="D230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30" s="5" t="str">
        <f>Sessions[[#This Row],[ProgramCode]] &amp; "-" &amp; Sessions[[#This Row],[SessionCode]] &amp; "-" &amp; TEXT(Sessions[[#This Row],[SessionOrder]],"00")</f>
        <v>10W_SQUAT_2-D-02</v>
      </c>
      <c r="F230" s="5" t="str">
        <f>Sessions[[#This Row],[ProgramCode]] &amp; " – Session " &amp; Sessions[[#This Row],[SessionCode]] &amp; " (Week " &amp; Sessions[[#This Row],[SessionOrder]] &amp; ")"</f>
        <v>10W_SQUAT_2 – Session D (Week 2)</v>
      </c>
      <c r="G230" s="2">
        <v>46043</v>
      </c>
    </row>
    <row r="231" spans="1:7" x14ac:dyDescent="0.3">
      <c r="A231" t="s">
        <v>1405</v>
      </c>
      <c r="B231" s="5" t="str">
        <f>_xlfn.XLOOKUP(Sessions[[#This Row],[ProgramID]], Programs[ProgramID], Programs[ProgramCode], "")</f>
        <v>10W_SQUAT_2</v>
      </c>
      <c r="C231" s="5" t="s">
        <v>869</v>
      </c>
      <c r="D231" s="5">
        <f t="array" ref="D231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31" s="5" t="str">
        <f>Sessions[[#This Row],[ProgramCode]] &amp; "-" &amp; Sessions[[#This Row],[SessionCode]] &amp; "-" &amp; TEXT(Sessions[[#This Row],[SessionOrder]],"00")</f>
        <v>10W_SQUAT_2-E-02</v>
      </c>
      <c r="F231" s="5" t="str">
        <f>Sessions[[#This Row],[ProgramCode]] &amp; " – Session " &amp; Sessions[[#This Row],[SessionCode]] &amp; " (Week " &amp; Sessions[[#This Row],[SessionOrder]] &amp; ")"</f>
        <v>10W_SQUAT_2 – Session E (Week 2)</v>
      </c>
      <c r="G231" s="2">
        <v>46044</v>
      </c>
    </row>
    <row r="232" spans="1:7" x14ac:dyDescent="0.3">
      <c r="A232" t="s">
        <v>1405</v>
      </c>
      <c r="B232" s="5" t="str">
        <f>_xlfn.XLOOKUP(Sessions[[#This Row],[ProgramID]], Programs[ProgramID], Programs[ProgramCode], "")</f>
        <v>10W_SQUAT_2</v>
      </c>
      <c r="C232" s="5" t="s">
        <v>870</v>
      </c>
      <c r="D232" s="5">
        <f t="array" ref="D232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32" s="5" t="str">
        <f>Sessions[[#This Row],[ProgramCode]] &amp; "-" &amp; Sessions[[#This Row],[SessionCode]] &amp; "-" &amp; TEXT(Sessions[[#This Row],[SessionOrder]],"00")</f>
        <v>10W_SQUAT_2-F-02</v>
      </c>
      <c r="F232" s="5" t="str">
        <f>Sessions[[#This Row],[ProgramCode]] &amp; " – Session " &amp; Sessions[[#This Row],[SessionCode]] &amp; " (Week " &amp; Sessions[[#This Row],[SessionOrder]] &amp; ")"</f>
        <v>10W_SQUAT_2 – Session F (Week 2)</v>
      </c>
      <c r="G232" s="2">
        <v>46045</v>
      </c>
    </row>
    <row r="233" spans="1:7" x14ac:dyDescent="0.3">
      <c r="A233" t="s">
        <v>1405</v>
      </c>
      <c r="B233" s="5" t="str">
        <f>_xlfn.XLOOKUP(Sessions[[#This Row],[ProgramID]], Programs[ProgramID], Programs[ProgramCode], "")</f>
        <v>10W_SQUAT_2</v>
      </c>
      <c r="C233" s="5" t="s">
        <v>849</v>
      </c>
      <c r="D233" s="5">
        <f t="array" ref="D233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33" s="5" t="str">
        <f>Sessions[[#This Row],[ProgramCode]] &amp; "-" &amp; Sessions[[#This Row],[SessionCode]] &amp; "-" &amp; TEXT(Sessions[[#This Row],[SessionOrder]],"00")</f>
        <v>10W_SQUAT_2-A-03</v>
      </c>
      <c r="F233" s="5" t="str">
        <f>Sessions[[#This Row],[ProgramCode]] &amp; " – Session " &amp; Sessions[[#This Row],[SessionCode]] &amp; " (Week " &amp; Sessions[[#This Row],[SessionOrder]] &amp; ")"</f>
        <v>10W_SQUAT_2 – Session A (Week 3)</v>
      </c>
      <c r="G233" s="2">
        <v>46046</v>
      </c>
    </row>
    <row r="234" spans="1:7" x14ac:dyDescent="0.3">
      <c r="A234" t="s">
        <v>1405</v>
      </c>
      <c r="B234" s="5" t="str">
        <f>_xlfn.XLOOKUP(Sessions[[#This Row],[ProgramID]], Programs[ProgramID], Programs[ProgramCode], "")</f>
        <v>10W_SQUAT_2</v>
      </c>
      <c r="C234" s="5" t="s">
        <v>852</v>
      </c>
      <c r="D234" s="5">
        <f t="array" ref="D234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34" s="5" t="str">
        <f>Sessions[[#This Row],[ProgramCode]] &amp; "-" &amp; Sessions[[#This Row],[SessionCode]] &amp; "-" &amp; TEXT(Sessions[[#This Row],[SessionOrder]],"00")</f>
        <v>10W_SQUAT_2-B-03</v>
      </c>
      <c r="F234" s="5" t="str">
        <f>Sessions[[#This Row],[ProgramCode]] &amp; " – Session " &amp; Sessions[[#This Row],[SessionCode]] &amp; " (Week " &amp; Sessions[[#This Row],[SessionOrder]] &amp; ")"</f>
        <v>10W_SQUAT_2 – Session B (Week 3)</v>
      </c>
      <c r="G234" s="2">
        <v>46047</v>
      </c>
    </row>
    <row r="235" spans="1:7" x14ac:dyDescent="0.3">
      <c r="A235" t="s">
        <v>1405</v>
      </c>
      <c r="B235" s="5" t="str">
        <f>_xlfn.XLOOKUP(Sessions[[#This Row],[ProgramID]], Programs[ProgramID], Programs[ProgramCode], "")</f>
        <v>10W_SQUAT_2</v>
      </c>
      <c r="C235" s="5" t="s">
        <v>855</v>
      </c>
      <c r="D235" s="5">
        <f t="array" ref="D235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35" s="5" t="str">
        <f>Sessions[[#This Row],[ProgramCode]] &amp; "-" &amp; Sessions[[#This Row],[SessionCode]] &amp; "-" &amp; TEXT(Sessions[[#This Row],[SessionOrder]],"00")</f>
        <v>10W_SQUAT_2-C-03</v>
      </c>
      <c r="F235" s="5" t="str">
        <f>Sessions[[#This Row],[ProgramCode]] &amp; " – Session " &amp; Sessions[[#This Row],[SessionCode]] &amp; " (Week " &amp; Sessions[[#This Row],[SessionOrder]] &amp; ")"</f>
        <v>10W_SQUAT_2 – Session C (Week 3)</v>
      </c>
      <c r="G235" s="2">
        <v>46048</v>
      </c>
    </row>
    <row r="236" spans="1:7" x14ac:dyDescent="0.3">
      <c r="A236" t="s">
        <v>1405</v>
      </c>
      <c r="B236" s="5" t="str">
        <f>_xlfn.XLOOKUP(Sessions[[#This Row],[ProgramID]], Programs[ProgramID], Programs[ProgramCode], "")</f>
        <v>10W_SQUAT_2</v>
      </c>
      <c r="C236" s="5" t="s">
        <v>863</v>
      </c>
      <c r="D236" s="5">
        <f t="array" ref="D236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36" s="5" t="str">
        <f>Sessions[[#This Row],[ProgramCode]] &amp; "-" &amp; Sessions[[#This Row],[SessionCode]] &amp; "-" &amp; TEXT(Sessions[[#This Row],[SessionOrder]],"00")</f>
        <v>10W_SQUAT_2-D-03</v>
      </c>
      <c r="F236" s="5" t="str">
        <f>Sessions[[#This Row],[ProgramCode]] &amp; " – Session " &amp; Sessions[[#This Row],[SessionCode]] &amp; " (Week " &amp; Sessions[[#This Row],[SessionOrder]] &amp; ")"</f>
        <v>10W_SQUAT_2 – Session D (Week 3)</v>
      </c>
      <c r="G236" s="2">
        <v>46049</v>
      </c>
    </row>
    <row r="237" spans="1:7" x14ac:dyDescent="0.3">
      <c r="A237" t="s">
        <v>1405</v>
      </c>
      <c r="B237" s="5" t="str">
        <f>_xlfn.XLOOKUP(Sessions[[#This Row],[ProgramID]], Programs[ProgramID], Programs[ProgramCode], "")</f>
        <v>10W_SQUAT_2</v>
      </c>
      <c r="C237" s="5" t="s">
        <v>869</v>
      </c>
      <c r="D237" s="5">
        <f t="array" ref="D237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37" s="5" t="str">
        <f>Sessions[[#This Row],[ProgramCode]] &amp; "-" &amp; Sessions[[#This Row],[SessionCode]] &amp; "-" &amp; TEXT(Sessions[[#This Row],[SessionOrder]],"00")</f>
        <v>10W_SQUAT_2-E-03</v>
      </c>
      <c r="F237" s="5" t="str">
        <f>Sessions[[#This Row],[ProgramCode]] &amp; " – Session " &amp; Sessions[[#This Row],[SessionCode]] &amp; " (Week " &amp; Sessions[[#This Row],[SessionOrder]] &amp; ")"</f>
        <v>10W_SQUAT_2 – Session E (Week 3)</v>
      </c>
      <c r="G237" s="2">
        <v>46050</v>
      </c>
    </row>
    <row r="238" spans="1:7" x14ac:dyDescent="0.3">
      <c r="A238" t="s">
        <v>1405</v>
      </c>
      <c r="B238" s="5" t="str">
        <f>_xlfn.XLOOKUP(Sessions[[#This Row],[ProgramID]], Programs[ProgramID], Programs[ProgramCode], "")</f>
        <v>10W_SQUAT_2</v>
      </c>
      <c r="C238" s="5" t="s">
        <v>870</v>
      </c>
      <c r="D238" s="5">
        <f t="array" ref="D238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38" s="5" t="str">
        <f>Sessions[[#This Row],[ProgramCode]] &amp; "-" &amp; Sessions[[#This Row],[SessionCode]] &amp; "-" &amp; TEXT(Sessions[[#This Row],[SessionOrder]],"00")</f>
        <v>10W_SQUAT_2-F-03</v>
      </c>
      <c r="F238" s="5" t="str">
        <f>Sessions[[#This Row],[ProgramCode]] &amp; " – Session " &amp; Sessions[[#This Row],[SessionCode]] &amp; " (Week " &amp; Sessions[[#This Row],[SessionOrder]] &amp; ")"</f>
        <v>10W_SQUAT_2 – Session F (Week 3)</v>
      </c>
      <c r="G238" s="2">
        <v>46051</v>
      </c>
    </row>
    <row r="239" spans="1:7" x14ac:dyDescent="0.3">
      <c r="A239" t="s">
        <v>1405</v>
      </c>
      <c r="B239" s="5" t="str">
        <f>_xlfn.XLOOKUP(Sessions[[#This Row],[ProgramID]], Programs[ProgramID], Programs[ProgramCode], "")</f>
        <v>10W_SQUAT_2</v>
      </c>
      <c r="C239" s="5" t="s">
        <v>849</v>
      </c>
      <c r="D239" s="5">
        <f t="array" ref="D239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39" s="5" t="str">
        <f>Sessions[[#This Row],[ProgramCode]] &amp; "-" &amp; Sessions[[#This Row],[SessionCode]] &amp; "-" &amp; TEXT(Sessions[[#This Row],[SessionOrder]],"00")</f>
        <v>10W_SQUAT_2-A-04</v>
      </c>
      <c r="F239" s="5" t="str">
        <f>Sessions[[#This Row],[ProgramCode]] &amp; " – Session " &amp; Sessions[[#This Row],[SessionCode]] &amp; " (Week " &amp; Sessions[[#This Row],[SessionOrder]] &amp; ")"</f>
        <v>10W_SQUAT_2 – Session A (Week 4)</v>
      </c>
      <c r="G239" s="2">
        <v>46052</v>
      </c>
    </row>
    <row r="240" spans="1:7" x14ac:dyDescent="0.3">
      <c r="A240" t="s">
        <v>1405</v>
      </c>
      <c r="B240" s="5" t="str">
        <f>_xlfn.XLOOKUP(Sessions[[#This Row],[ProgramID]], Programs[ProgramID], Programs[ProgramCode], "")</f>
        <v>10W_SQUAT_2</v>
      </c>
      <c r="C240" s="5" t="s">
        <v>852</v>
      </c>
      <c r="D240" s="5">
        <f t="array" ref="D240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40" s="5" t="str">
        <f>Sessions[[#This Row],[ProgramCode]] &amp; "-" &amp; Sessions[[#This Row],[SessionCode]] &amp; "-" &amp; TEXT(Sessions[[#This Row],[SessionOrder]],"00")</f>
        <v>10W_SQUAT_2-B-04</v>
      </c>
      <c r="F240" s="5" t="str">
        <f>Sessions[[#This Row],[ProgramCode]] &amp; " – Session " &amp; Sessions[[#This Row],[SessionCode]] &amp; " (Week " &amp; Sessions[[#This Row],[SessionOrder]] &amp; ")"</f>
        <v>10W_SQUAT_2 – Session B (Week 4)</v>
      </c>
      <c r="G240" s="2">
        <v>46053</v>
      </c>
    </row>
    <row r="241" spans="1:7" x14ac:dyDescent="0.3">
      <c r="A241" t="s">
        <v>1405</v>
      </c>
      <c r="B241" s="5" t="str">
        <f>_xlfn.XLOOKUP(Sessions[[#This Row],[ProgramID]], Programs[ProgramID], Programs[ProgramCode], "")</f>
        <v>10W_SQUAT_2</v>
      </c>
      <c r="C241" s="5" t="s">
        <v>855</v>
      </c>
      <c r="D241" s="5">
        <f t="array" ref="D241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41" s="5" t="str">
        <f>Sessions[[#This Row],[ProgramCode]] &amp; "-" &amp; Sessions[[#This Row],[SessionCode]] &amp; "-" &amp; TEXT(Sessions[[#This Row],[SessionOrder]],"00")</f>
        <v>10W_SQUAT_2-C-04</v>
      </c>
      <c r="F241" s="5" t="str">
        <f>Sessions[[#This Row],[ProgramCode]] &amp; " – Session " &amp; Sessions[[#This Row],[SessionCode]] &amp; " (Week " &amp; Sessions[[#This Row],[SessionOrder]] &amp; ")"</f>
        <v>10W_SQUAT_2 – Session C (Week 4)</v>
      </c>
      <c r="G241" s="2">
        <v>46054</v>
      </c>
    </row>
    <row r="242" spans="1:7" x14ac:dyDescent="0.3">
      <c r="A242" t="s">
        <v>1405</v>
      </c>
      <c r="B242" s="5" t="str">
        <f>_xlfn.XLOOKUP(Sessions[[#This Row],[ProgramID]], Programs[ProgramID], Programs[ProgramCode], "")</f>
        <v>10W_SQUAT_2</v>
      </c>
      <c r="C242" s="5" t="s">
        <v>863</v>
      </c>
      <c r="D242" s="5">
        <f t="array" ref="D242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42" s="5" t="str">
        <f>Sessions[[#This Row],[ProgramCode]] &amp; "-" &amp; Sessions[[#This Row],[SessionCode]] &amp; "-" &amp; TEXT(Sessions[[#This Row],[SessionOrder]],"00")</f>
        <v>10W_SQUAT_2-D-04</v>
      </c>
      <c r="F242" s="5" t="str">
        <f>Sessions[[#This Row],[ProgramCode]] &amp; " – Session " &amp; Sessions[[#This Row],[SessionCode]] &amp; " (Week " &amp; Sessions[[#This Row],[SessionOrder]] &amp; ")"</f>
        <v>10W_SQUAT_2 – Session D (Week 4)</v>
      </c>
      <c r="G242" s="2">
        <v>46055</v>
      </c>
    </row>
    <row r="243" spans="1:7" x14ac:dyDescent="0.3">
      <c r="A243" t="s">
        <v>1405</v>
      </c>
      <c r="B243" s="5" t="str">
        <f>_xlfn.XLOOKUP(Sessions[[#This Row],[ProgramID]], Programs[ProgramID], Programs[ProgramCode], "")</f>
        <v>10W_SQUAT_2</v>
      </c>
      <c r="C243" s="5" t="s">
        <v>869</v>
      </c>
      <c r="D243" s="5">
        <f t="array" ref="D243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43" s="5" t="str">
        <f>Sessions[[#This Row],[ProgramCode]] &amp; "-" &amp; Sessions[[#This Row],[SessionCode]] &amp; "-" &amp; TEXT(Sessions[[#This Row],[SessionOrder]],"00")</f>
        <v>10W_SQUAT_2-E-04</v>
      </c>
      <c r="F243" s="5" t="str">
        <f>Sessions[[#This Row],[ProgramCode]] &amp; " – Session " &amp; Sessions[[#This Row],[SessionCode]] &amp; " (Week " &amp; Sessions[[#This Row],[SessionOrder]] &amp; ")"</f>
        <v>10W_SQUAT_2 – Session E (Week 4)</v>
      </c>
      <c r="G243" s="2">
        <v>46056</v>
      </c>
    </row>
    <row r="244" spans="1:7" x14ac:dyDescent="0.3">
      <c r="A244" t="s">
        <v>1405</v>
      </c>
      <c r="B244" s="5" t="str">
        <f>_xlfn.XLOOKUP(Sessions[[#This Row],[ProgramID]], Programs[ProgramID], Programs[ProgramCode], "")</f>
        <v>10W_SQUAT_2</v>
      </c>
      <c r="C244" s="5" t="s">
        <v>870</v>
      </c>
      <c r="D244" s="5">
        <f t="array" ref="D244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44" s="5" t="str">
        <f>Sessions[[#This Row],[ProgramCode]] &amp; "-" &amp; Sessions[[#This Row],[SessionCode]] &amp; "-" &amp; TEXT(Sessions[[#This Row],[SessionOrder]],"00")</f>
        <v>10W_SQUAT_2-F-04</v>
      </c>
      <c r="F244" s="5" t="str">
        <f>Sessions[[#This Row],[ProgramCode]] &amp; " – Session " &amp; Sessions[[#This Row],[SessionCode]] &amp; " (Week " &amp; Sessions[[#This Row],[SessionOrder]] &amp; ")"</f>
        <v>10W_SQUAT_2 – Session F (Week 4)</v>
      </c>
      <c r="G244" s="2">
        <v>46057</v>
      </c>
    </row>
    <row r="245" spans="1:7" x14ac:dyDescent="0.3">
      <c r="A245" t="s">
        <v>1405</v>
      </c>
      <c r="B245" s="5" t="str">
        <f>_xlfn.XLOOKUP(Sessions[[#This Row],[ProgramID]], Programs[ProgramID], Programs[ProgramCode], "")</f>
        <v>10W_SQUAT_2</v>
      </c>
      <c r="C245" s="5" t="s">
        <v>849</v>
      </c>
      <c r="D245" s="5">
        <f t="array" ref="D245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45" s="5" t="str">
        <f>Sessions[[#This Row],[ProgramCode]] &amp; "-" &amp; Sessions[[#This Row],[SessionCode]] &amp; "-" &amp; TEXT(Sessions[[#This Row],[SessionOrder]],"00")</f>
        <v>10W_SQUAT_2-A-05</v>
      </c>
      <c r="F245" s="5" t="str">
        <f>Sessions[[#This Row],[ProgramCode]] &amp; " – Session " &amp; Sessions[[#This Row],[SessionCode]] &amp; " (Week " &amp; Sessions[[#This Row],[SessionOrder]] &amp; ")"</f>
        <v>10W_SQUAT_2 – Session A (Week 5)</v>
      </c>
      <c r="G245" s="2">
        <v>46058</v>
      </c>
    </row>
    <row r="246" spans="1:7" x14ac:dyDescent="0.3">
      <c r="A246" t="s">
        <v>1405</v>
      </c>
      <c r="B246" s="5" t="str">
        <f>_xlfn.XLOOKUP(Sessions[[#This Row],[ProgramID]], Programs[ProgramID], Programs[ProgramCode], "")</f>
        <v>10W_SQUAT_2</v>
      </c>
      <c r="C246" s="5" t="s">
        <v>852</v>
      </c>
      <c r="D246" s="5">
        <f t="array" ref="D246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46" s="5" t="str">
        <f>Sessions[[#This Row],[ProgramCode]] &amp; "-" &amp; Sessions[[#This Row],[SessionCode]] &amp; "-" &amp; TEXT(Sessions[[#This Row],[SessionOrder]],"00")</f>
        <v>10W_SQUAT_2-B-05</v>
      </c>
      <c r="F246" s="5" t="str">
        <f>Sessions[[#This Row],[ProgramCode]] &amp; " – Session " &amp; Sessions[[#This Row],[SessionCode]] &amp; " (Week " &amp; Sessions[[#This Row],[SessionOrder]] &amp; ")"</f>
        <v>10W_SQUAT_2 – Session B (Week 5)</v>
      </c>
      <c r="G246" s="2">
        <v>46059</v>
      </c>
    </row>
    <row r="247" spans="1:7" x14ac:dyDescent="0.3">
      <c r="A247" t="s">
        <v>1405</v>
      </c>
      <c r="B247" s="5" t="str">
        <f>_xlfn.XLOOKUP(Sessions[[#This Row],[ProgramID]], Programs[ProgramID], Programs[ProgramCode], "")</f>
        <v>10W_SQUAT_2</v>
      </c>
      <c r="C247" s="5" t="s">
        <v>855</v>
      </c>
      <c r="D247" s="5">
        <f t="array" ref="D247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47" s="5" t="str">
        <f>Sessions[[#This Row],[ProgramCode]] &amp; "-" &amp; Sessions[[#This Row],[SessionCode]] &amp; "-" &amp; TEXT(Sessions[[#This Row],[SessionOrder]],"00")</f>
        <v>10W_SQUAT_2-C-05</v>
      </c>
      <c r="F247" s="5" t="str">
        <f>Sessions[[#This Row],[ProgramCode]] &amp; " – Session " &amp; Sessions[[#This Row],[SessionCode]] &amp; " (Week " &amp; Sessions[[#This Row],[SessionOrder]] &amp; ")"</f>
        <v>10W_SQUAT_2 – Session C (Week 5)</v>
      </c>
      <c r="G247" s="2">
        <v>46060</v>
      </c>
    </row>
    <row r="248" spans="1:7" x14ac:dyDescent="0.3">
      <c r="A248" t="s">
        <v>1405</v>
      </c>
      <c r="B248" s="5" t="str">
        <f>_xlfn.XLOOKUP(Sessions[[#This Row],[ProgramID]], Programs[ProgramID], Programs[ProgramCode], "")</f>
        <v>10W_SQUAT_2</v>
      </c>
      <c r="C248" s="5" t="s">
        <v>863</v>
      </c>
      <c r="D248" s="5">
        <f t="array" ref="D248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48" s="5" t="str">
        <f>Sessions[[#This Row],[ProgramCode]] &amp; "-" &amp; Sessions[[#This Row],[SessionCode]] &amp; "-" &amp; TEXT(Sessions[[#This Row],[SessionOrder]],"00")</f>
        <v>10W_SQUAT_2-D-05</v>
      </c>
      <c r="F248" s="5" t="str">
        <f>Sessions[[#This Row],[ProgramCode]] &amp; " – Session " &amp; Sessions[[#This Row],[SessionCode]] &amp; " (Week " &amp; Sessions[[#This Row],[SessionOrder]] &amp; ")"</f>
        <v>10W_SQUAT_2 – Session D (Week 5)</v>
      </c>
      <c r="G248" s="2">
        <v>46061</v>
      </c>
    </row>
    <row r="249" spans="1:7" x14ac:dyDescent="0.3">
      <c r="A249" t="s">
        <v>1405</v>
      </c>
      <c r="B249" s="5" t="str">
        <f>_xlfn.XLOOKUP(Sessions[[#This Row],[ProgramID]], Programs[ProgramID], Programs[ProgramCode], "")</f>
        <v>10W_SQUAT_2</v>
      </c>
      <c r="C249" s="5" t="s">
        <v>869</v>
      </c>
      <c r="D249" s="5">
        <f t="array" ref="D249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49" s="5" t="str">
        <f>Sessions[[#This Row],[ProgramCode]] &amp; "-" &amp; Sessions[[#This Row],[SessionCode]] &amp; "-" &amp; TEXT(Sessions[[#This Row],[SessionOrder]],"00")</f>
        <v>10W_SQUAT_2-E-05</v>
      </c>
      <c r="F249" s="5" t="str">
        <f>Sessions[[#This Row],[ProgramCode]] &amp; " – Session " &amp; Sessions[[#This Row],[SessionCode]] &amp; " (Week " &amp; Sessions[[#This Row],[SessionOrder]] &amp; ")"</f>
        <v>10W_SQUAT_2 – Session E (Week 5)</v>
      </c>
      <c r="G249" s="2">
        <v>46062</v>
      </c>
    </row>
    <row r="250" spans="1:7" x14ac:dyDescent="0.3">
      <c r="A250" t="s">
        <v>1405</v>
      </c>
      <c r="B250" s="5" t="str">
        <f>_xlfn.XLOOKUP(Sessions[[#This Row],[ProgramID]], Programs[ProgramID], Programs[ProgramCode], "")</f>
        <v>10W_SQUAT_2</v>
      </c>
      <c r="C250" s="5" t="s">
        <v>870</v>
      </c>
      <c r="D250" s="5">
        <f t="array" ref="D250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250" s="5" t="str">
        <f>Sessions[[#This Row],[ProgramCode]] &amp; "-" &amp; Sessions[[#This Row],[SessionCode]] &amp; "-" &amp; TEXT(Sessions[[#This Row],[SessionOrder]],"00")</f>
        <v>10W_SQUAT_2-F-05</v>
      </c>
      <c r="F250" s="5" t="str">
        <f>Sessions[[#This Row],[ProgramCode]] &amp; " – Session " &amp; Sessions[[#This Row],[SessionCode]] &amp; " (Week " &amp; Sessions[[#This Row],[SessionOrder]] &amp; ")"</f>
        <v>10W_SQUAT_2 – Session F (Week 5)</v>
      </c>
      <c r="G250" s="2">
        <v>46063</v>
      </c>
    </row>
    <row r="251" spans="1:7" x14ac:dyDescent="0.3">
      <c r="A251" t="s">
        <v>1405</v>
      </c>
      <c r="B251" s="5" t="str">
        <f>_xlfn.XLOOKUP(Sessions[[#This Row],[ProgramID]], Programs[ProgramID], Programs[ProgramCode], "")</f>
        <v>10W_SQUAT_2</v>
      </c>
      <c r="C251" s="5" t="s">
        <v>849</v>
      </c>
      <c r="D251" s="5">
        <f t="array" ref="D251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251" s="5" t="str">
        <f>Sessions[[#This Row],[ProgramCode]] &amp; "-" &amp; Sessions[[#This Row],[SessionCode]] &amp; "-" &amp; TEXT(Sessions[[#This Row],[SessionOrder]],"00")</f>
        <v>10W_SQUAT_2-A-06</v>
      </c>
      <c r="F251" s="5" t="str">
        <f>Sessions[[#This Row],[ProgramCode]] &amp; " – Session " &amp; Sessions[[#This Row],[SessionCode]] &amp; " (Week " &amp; Sessions[[#This Row],[SessionOrder]] &amp; ")"</f>
        <v>10W_SQUAT_2 – Session A (Week 6)</v>
      </c>
      <c r="G251" s="2">
        <v>46064</v>
      </c>
    </row>
    <row r="252" spans="1:7" x14ac:dyDescent="0.3">
      <c r="A252" t="s">
        <v>1405</v>
      </c>
      <c r="B252" s="5" t="str">
        <f>_xlfn.XLOOKUP(Sessions[[#This Row],[ProgramID]], Programs[ProgramID], Programs[ProgramCode], "")</f>
        <v>10W_SQUAT_2</v>
      </c>
      <c r="C252" s="5" t="s">
        <v>852</v>
      </c>
      <c r="D252" s="5">
        <f t="array" ref="D252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252" s="5" t="str">
        <f>Sessions[[#This Row],[ProgramCode]] &amp; "-" &amp; Sessions[[#This Row],[SessionCode]] &amp; "-" &amp; TEXT(Sessions[[#This Row],[SessionOrder]],"00")</f>
        <v>10W_SQUAT_2-B-06</v>
      </c>
      <c r="F252" s="5" t="str">
        <f>Sessions[[#This Row],[ProgramCode]] &amp; " – Session " &amp; Sessions[[#This Row],[SessionCode]] &amp; " (Week " &amp; Sessions[[#This Row],[SessionOrder]] &amp; ")"</f>
        <v>10W_SQUAT_2 – Session B (Week 6)</v>
      </c>
      <c r="G252" s="2">
        <v>46065</v>
      </c>
    </row>
    <row r="253" spans="1:7" x14ac:dyDescent="0.3">
      <c r="A253" t="s">
        <v>1405</v>
      </c>
      <c r="B253" s="5" t="str">
        <f>_xlfn.XLOOKUP(Sessions[[#This Row],[ProgramID]], Programs[ProgramID], Programs[ProgramCode], "")</f>
        <v>10W_SQUAT_2</v>
      </c>
      <c r="C253" s="5" t="s">
        <v>855</v>
      </c>
      <c r="D253" s="5">
        <f t="array" ref="D253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253" s="5" t="str">
        <f>Sessions[[#This Row],[ProgramCode]] &amp; "-" &amp; Sessions[[#This Row],[SessionCode]] &amp; "-" &amp; TEXT(Sessions[[#This Row],[SessionOrder]],"00")</f>
        <v>10W_SQUAT_2-C-06</v>
      </c>
      <c r="F253" s="5" t="str">
        <f>Sessions[[#This Row],[ProgramCode]] &amp; " – Session " &amp; Sessions[[#This Row],[SessionCode]] &amp; " (Week " &amp; Sessions[[#This Row],[SessionOrder]] &amp; ")"</f>
        <v>10W_SQUAT_2 – Session C (Week 6)</v>
      </c>
      <c r="G253" s="2">
        <v>46066</v>
      </c>
    </row>
    <row r="254" spans="1:7" x14ac:dyDescent="0.3">
      <c r="A254" t="s">
        <v>1405</v>
      </c>
      <c r="B254" s="5" t="str">
        <f>_xlfn.XLOOKUP(Sessions[[#This Row],[ProgramID]], Programs[ProgramID], Programs[ProgramCode], "")</f>
        <v>10W_SQUAT_2</v>
      </c>
      <c r="C254" s="5" t="s">
        <v>863</v>
      </c>
      <c r="D254" s="5">
        <f t="array" ref="D254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254" s="5" t="str">
        <f>Sessions[[#This Row],[ProgramCode]] &amp; "-" &amp; Sessions[[#This Row],[SessionCode]] &amp; "-" &amp; TEXT(Sessions[[#This Row],[SessionOrder]],"00")</f>
        <v>10W_SQUAT_2-D-06</v>
      </c>
      <c r="F254" s="5" t="str">
        <f>Sessions[[#This Row],[ProgramCode]] &amp; " – Session " &amp; Sessions[[#This Row],[SessionCode]] &amp; " (Week " &amp; Sessions[[#This Row],[SessionOrder]] &amp; ")"</f>
        <v>10W_SQUAT_2 – Session D (Week 6)</v>
      </c>
      <c r="G254" s="2">
        <v>46067</v>
      </c>
    </row>
    <row r="255" spans="1:7" x14ac:dyDescent="0.3">
      <c r="A255" t="s">
        <v>1405</v>
      </c>
      <c r="B255" s="5" t="str">
        <f>_xlfn.XLOOKUP(Sessions[[#This Row],[ProgramID]], Programs[ProgramID], Programs[ProgramCode], "")</f>
        <v>10W_SQUAT_2</v>
      </c>
      <c r="C255" s="5" t="s">
        <v>869</v>
      </c>
      <c r="D255" s="5">
        <f t="array" ref="D255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255" s="5" t="str">
        <f>Sessions[[#This Row],[ProgramCode]] &amp; "-" &amp; Sessions[[#This Row],[SessionCode]] &amp; "-" &amp; TEXT(Sessions[[#This Row],[SessionOrder]],"00")</f>
        <v>10W_SQUAT_2-E-06</v>
      </c>
      <c r="F255" s="5" t="str">
        <f>Sessions[[#This Row],[ProgramCode]] &amp; " – Session " &amp; Sessions[[#This Row],[SessionCode]] &amp; " (Week " &amp; Sessions[[#This Row],[SessionOrder]] &amp; ")"</f>
        <v>10W_SQUAT_2 – Session E (Week 6)</v>
      </c>
      <c r="G255" s="2">
        <v>46068</v>
      </c>
    </row>
    <row r="256" spans="1:7" x14ac:dyDescent="0.3">
      <c r="A256" t="s">
        <v>1405</v>
      </c>
      <c r="B256" s="5" t="str">
        <f>_xlfn.XLOOKUP(Sessions[[#This Row],[ProgramID]], Programs[ProgramID], Programs[ProgramCode], "")</f>
        <v>10W_SQUAT_2</v>
      </c>
      <c r="C256" s="5" t="s">
        <v>870</v>
      </c>
      <c r="D256" s="5">
        <f t="array" ref="D256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256" s="5" t="str">
        <f>Sessions[[#This Row],[ProgramCode]] &amp; "-" &amp; Sessions[[#This Row],[SessionCode]] &amp; "-" &amp; TEXT(Sessions[[#This Row],[SessionOrder]],"00")</f>
        <v>10W_SQUAT_2-F-06</v>
      </c>
      <c r="F256" s="5" t="str">
        <f>Sessions[[#This Row],[ProgramCode]] &amp; " – Session " &amp; Sessions[[#This Row],[SessionCode]] &amp; " (Week " &amp; Sessions[[#This Row],[SessionOrder]] &amp; ")"</f>
        <v>10W_SQUAT_2 – Session F (Week 6)</v>
      </c>
      <c r="G256" s="2">
        <v>46069</v>
      </c>
    </row>
    <row r="257" spans="1:7" x14ac:dyDescent="0.3">
      <c r="A257" t="s">
        <v>1405</v>
      </c>
      <c r="B257" s="5" t="str">
        <f>_xlfn.XLOOKUP(Sessions[[#This Row],[ProgramID]], Programs[ProgramID], Programs[ProgramCode], "")</f>
        <v>10W_SQUAT_2</v>
      </c>
      <c r="C257" s="5" t="s">
        <v>849</v>
      </c>
      <c r="D257" s="5">
        <f t="array" ref="D257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257" s="5" t="str">
        <f>Sessions[[#This Row],[ProgramCode]] &amp; "-" &amp; Sessions[[#This Row],[SessionCode]] &amp; "-" &amp; TEXT(Sessions[[#This Row],[SessionOrder]],"00")</f>
        <v>10W_SQUAT_2-A-07</v>
      </c>
      <c r="F257" s="5" t="str">
        <f>Sessions[[#This Row],[ProgramCode]] &amp; " – Session " &amp; Sessions[[#This Row],[SessionCode]] &amp; " (Week " &amp; Sessions[[#This Row],[SessionOrder]] &amp; ")"</f>
        <v>10W_SQUAT_2 – Session A (Week 7)</v>
      </c>
      <c r="G257" s="2">
        <v>46070</v>
      </c>
    </row>
    <row r="258" spans="1:7" x14ac:dyDescent="0.3">
      <c r="A258" t="s">
        <v>1405</v>
      </c>
      <c r="B258" s="5" t="str">
        <f>_xlfn.XLOOKUP(Sessions[[#This Row],[ProgramID]], Programs[ProgramID], Programs[ProgramCode], "")</f>
        <v>10W_SQUAT_2</v>
      </c>
      <c r="C258" s="5" t="s">
        <v>852</v>
      </c>
      <c r="D258" s="5">
        <f t="array" ref="D258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258" s="5" t="str">
        <f>Sessions[[#This Row],[ProgramCode]] &amp; "-" &amp; Sessions[[#This Row],[SessionCode]] &amp; "-" &amp; TEXT(Sessions[[#This Row],[SessionOrder]],"00")</f>
        <v>10W_SQUAT_2-B-07</v>
      </c>
      <c r="F258" s="5" t="str">
        <f>Sessions[[#This Row],[ProgramCode]] &amp; " – Session " &amp; Sessions[[#This Row],[SessionCode]] &amp; " (Week " &amp; Sessions[[#This Row],[SessionOrder]] &amp; ")"</f>
        <v>10W_SQUAT_2 – Session B (Week 7)</v>
      </c>
      <c r="G258" s="2">
        <v>46071</v>
      </c>
    </row>
    <row r="259" spans="1:7" x14ac:dyDescent="0.3">
      <c r="A259" t="s">
        <v>1405</v>
      </c>
      <c r="B259" s="5" t="str">
        <f>_xlfn.XLOOKUP(Sessions[[#This Row],[ProgramID]], Programs[ProgramID], Programs[ProgramCode], "")</f>
        <v>10W_SQUAT_2</v>
      </c>
      <c r="C259" s="5" t="s">
        <v>855</v>
      </c>
      <c r="D259" s="5">
        <f t="array" ref="D259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259" s="5" t="str">
        <f>Sessions[[#This Row],[ProgramCode]] &amp; "-" &amp; Sessions[[#This Row],[SessionCode]] &amp; "-" &amp; TEXT(Sessions[[#This Row],[SessionOrder]],"00")</f>
        <v>10W_SQUAT_2-C-07</v>
      </c>
      <c r="F259" s="5" t="str">
        <f>Sessions[[#This Row],[ProgramCode]] &amp; " – Session " &amp; Sessions[[#This Row],[SessionCode]] &amp; " (Week " &amp; Sessions[[#This Row],[SessionOrder]] &amp; ")"</f>
        <v>10W_SQUAT_2 – Session C (Week 7)</v>
      </c>
      <c r="G259" s="2">
        <v>46072</v>
      </c>
    </row>
    <row r="260" spans="1:7" x14ac:dyDescent="0.3">
      <c r="A260" t="s">
        <v>1405</v>
      </c>
      <c r="B260" s="5" t="str">
        <f>_xlfn.XLOOKUP(Sessions[[#This Row],[ProgramID]], Programs[ProgramID], Programs[ProgramCode], "")</f>
        <v>10W_SQUAT_2</v>
      </c>
      <c r="C260" s="5" t="s">
        <v>863</v>
      </c>
      <c r="D260" s="5">
        <f t="array" ref="D260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260" s="5" t="str">
        <f>Sessions[[#This Row],[ProgramCode]] &amp; "-" &amp; Sessions[[#This Row],[SessionCode]] &amp; "-" &amp; TEXT(Sessions[[#This Row],[SessionOrder]],"00")</f>
        <v>10W_SQUAT_2-D-07</v>
      </c>
      <c r="F260" s="5" t="str">
        <f>Sessions[[#This Row],[ProgramCode]] &amp; " – Session " &amp; Sessions[[#This Row],[SessionCode]] &amp; " (Week " &amp; Sessions[[#This Row],[SessionOrder]] &amp; ")"</f>
        <v>10W_SQUAT_2 – Session D (Week 7)</v>
      </c>
      <c r="G260" s="2">
        <v>46073</v>
      </c>
    </row>
    <row r="261" spans="1:7" x14ac:dyDescent="0.3">
      <c r="A261" t="s">
        <v>1405</v>
      </c>
      <c r="B261" s="5" t="str">
        <f>_xlfn.XLOOKUP(Sessions[[#This Row],[ProgramID]], Programs[ProgramID], Programs[ProgramCode], "")</f>
        <v>10W_SQUAT_2</v>
      </c>
      <c r="C261" s="5" t="s">
        <v>869</v>
      </c>
      <c r="D261" s="5">
        <f t="array" ref="D261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261" s="5" t="str">
        <f>Sessions[[#This Row],[ProgramCode]] &amp; "-" &amp; Sessions[[#This Row],[SessionCode]] &amp; "-" &amp; TEXT(Sessions[[#This Row],[SessionOrder]],"00")</f>
        <v>10W_SQUAT_2-E-07</v>
      </c>
      <c r="F261" s="5" t="str">
        <f>Sessions[[#This Row],[ProgramCode]] &amp; " – Session " &amp; Sessions[[#This Row],[SessionCode]] &amp; " (Week " &amp; Sessions[[#This Row],[SessionOrder]] &amp; ")"</f>
        <v>10W_SQUAT_2 – Session E (Week 7)</v>
      </c>
      <c r="G261" s="2">
        <v>46074</v>
      </c>
    </row>
    <row r="262" spans="1:7" x14ac:dyDescent="0.3">
      <c r="A262" t="s">
        <v>1405</v>
      </c>
      <c r="B262" s="5" t="str">
        <f>_xlfn.XLOOKUP(Sessions[[#This Row],[ProgramID]], Programs[ProgramID], Programs[ProgramCode], "")</f>
        <v>10W_SQUAT_2</v>
      </c>
      <c r="C262" s="5" t="s">
        <v>870</v>
      </c>
      <c r="D262" s="5">
        <f t="array" ref="D262">SUMPRODUCT( (Sessions[ProgramCode]=Sessions[[#This Row],[ProgramCode]]) *
             (Sessions[SessionCode]=Sessions[[#This Row],[SessionCode]]) *
             (ROW(Sessions[ProgramCode]) &lt;= ROW(Sessions[[#This Row],[ProgramCode]])) )</f>
        <v>7</v>
      </c>
      <c r="E262" s="5" t="str">
        <f>Sessions[[#This Row],[ProgramCode]] &amp; "-" &amp; Sessions[[#This Row],[SessionCode]] &amp; "-" &amp; TEXT(Sessions[[#This Row],[SessionOrder]],"00")</f>
        <v>10W_SQUAT_2-F-07</v>
      </c>
      <c r="F262" s="5" t="str">
        <f>Sessions[[#This Row],[ProgramCode]] &amp; " – Session " &amp; Sessions[[#This Row],[SessionCode]] &amp; " (Week " &amp; Sessions[[#This Row],[SessionOrder]] &amp; ")"</f>
        <v>10W_SQUAT_2 – Session F (Week 7)</v>
      </c>
      <c r="G262" s="2">
        <v>46075</v>
      </c>
    </row>
    <row r="263" spans="1:7" x14ac:dyDescent="0.3">
      <c r="A263" t="s">
        <v>1405</v>
      </c>
      <c r="B263" s="5" t="str">
        <f>_xlfn.XLOOKUP(Sessions[[#This Row],[ProgramID]], Programs[ProgramID], Programs[ProgramCode], "")</f>
        <v>10W_SQUAT_2</v>
      </c>
      <c r="C263" s="5" t="s">
        <v>849</v>
      </c>
      <c r="D263" s="5">
        <f t="array" ref="D263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263" s="5" t="str">
        <f>Sessions[[#This Row],[ProgramCode]] &amp; "-" &amp; Sessions[[#This Row],[SessionCode]] &amp; "-" &amp; TEXT(Sessions[[#This Row],[SessionOrder]],"00")</f>
        <v>10W_SQUAT_2-A-08</v>
      </c>
      <c r="F263" s="5" t="str">
        <f>Sessions[[#This Row],[ProgramCode]] &amp; " – Session " &amp; Sessions[[#This Row],[SessionCode]] &amp; " (Week " &amp; Sessions[[#This Row],[SessionOrder]] &amp; ")"</f>
        <v>10W_SQUAT_2 – Session A (Week 8)</v>
      </c>
      <c r="G263" s="2">
        <v>46076</v>
      </c>
    </row>
    <row r="264" spans="1:7" x14ac:dyDescent="0.3">
      <c r="A264" t="s">
        <v>1405</v>
      </c>
      <c r="B264" s="5" t="str">
        <f>_xlfn.XLOOKUP(Sessions[[#This Row],[ProgramID]], Programs[ProgramID], Programs[ProgramCode], "")</f>
        <v>10W_SQUAT_2</v>
      </c>
      <c r="C264" s="5" t="s">
        <v>852</v>
      </c>
      <c r="D264" s="5">
        <f t="array" ref="D264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264" s="5" t="str">
        <f>Sessions[[#This Row],[ProgramCode]] &amp; "-" &amp; Sessions[[#This Row],[SessionCode]] &amp; "-" &amp; TEXT(Sessions[[#This Row],[SessionOrder]],"00")</f>
        <v>10W_SQUAT_2-B-08</v>
      </c>
      <c r="F264" s="5" t="str">
        <f>Sessions[[#This Row],[ProgramCode]] &amp; " – Session " &amp; Sessions[[#This Row],[SessionCode]] &amp; " (Week " &amp; Sessions[[#This Row],[SessionOrder]] &amp; ")"</f>
        <v>10W_SQUAT_2 – Session B (Week 8)</v>
      </c>
      <c r="G264" s="2">
        <v>46077</v>
      </c>
    </row>
    <row r="265" spans="1:7" x14ac:dyDescent="0.3">
      <c r="A265" t="s">
        <v>1405</v>
      </c>
      <c r="B265" s="5" t="str">
        <f>_xlfn.XLOOKUP(Sessions[[#This Row],[ProgramID]], Programs[ProgramID], Programs[ProgramCode], "")</f>
        <v>10W_SQUAT_2</v>
      </c>
      <c r="C265" s="5" t="s">
        <v>855</v>
      </c>
      <c r="D265" s="5">
        <f t="array" ref="D265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265" s="5" t="str">
        <f>Sessions[[#This Row],[ProgramCode]] &amp; "-" &amp; Sessions[[#This Row],[SessionCode]] &amp; "-" &amp; TEXT(Sessions[[#This Row],[SessionOrder]],"00")</f>
        <v>10W_SQUAT_2-C-08</v>
      </c>
      <c r="F265" s="5" t="str">
        <f>Sessions[[#This Row],[ProgramCode]] &amp; " – Session " &amp; Sessions[[#This Row],[SessionCode]] &amp; " (Week " &amp; Sessions[[#This Row],[SessionOrder]] &amp; ")"</f>
        <v>10W_SQUAT_2 – Session C (Week 8)</v>
      </c>
      <c r="G265" s="2">
        <v>46078</v>
      </c>
    </row>
    <row r="266" spans="1:7" x14ac:dyDescent="0.3">
      <c r="A266" t="s">
        <v>1405</v>
      </c>
      <c r="B266" s="5" t="str">
        <f>_xlfn.XLOOKUP(Sessions[[#This Row],[ProgramID]], Programs[ProgramID], Programs[ProgramCode], "")</f>
        <v>10W_SQUAT_2</v>
      </c>
      <c r="C266" s="5" t="s">
        <v>863</v>
      </c>
      <c r="D266" s="5">
        <f t="array" ref="D266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266" s="5" t="str">
        <f>Sessions[[#This Row],[ProgramCode]] &amp; "-" &amp; Sessions[[#This Row],[SessionCode]] &amp; "-" &amp; TEXT(Sessions[[#This Row],[SessionOrder]],"00")</f>
        <v>10W_SQUAT_2-D-08</v>
      </c>
      <c r="F266" s="5" t="str">
        <f>Sessions[[#This Row],[ProgramCode]] &amp; " – Session " &amp; Sessions[[#This Row],[SessionCode]] &amp; " (Week " &amp; Sessions[[#This Row],[SessionOrder]] &amp; ")"</f>
        <v>10W_SQUAT_2 – Session D (Week 8)</v>
      </c>
      <c r="G266" s="2">
        <v>46079</v>
      </c>
    </row>
    <row r="267" spans="1:7" x14ac:dyDescent="0.3">
      <c r="A267" t="s">
        <v>1405</v>
      </c>
      <c r="B267" s="5" t="str">
        <f>_xlfn.XLOOKUP(Sessions[[#This Row],[ProgramID]], Programs[ProgramID], Programs[ProgramCode], "")</f>
        <v>10W_SQUAT_2</v>
      </c>
      <c r="C267" s="5" t="s">
        <v>869</v>
      </c>
      <c r="D267" s="5">
        <f t="array" ref="D267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267" s="5" t="str">
        <f>Sessions[[#This Row],[ProgramCode]] &amp; "-" &amp; Sessions[[#This Row],[SessionCode]] &amp; "-" &amp; TEXT(Sessions[[#This Row],[SessionOrder]],"00")</f>
        <v>10W_SQUAT_2-E-08</v>
      </c>
      <c r="F267" s="5" t="str">
        <f>Sessions[[#This Row],[ProgramCode]] &amp; " – Session " &amp; Sessions[[#This Row],[SessionCode]] &amp; " (Week " &amp; Sessions[[#This Row],[SessionOrder]] &amp; ")"</f>
        <v>10W_SQUAT_2 – Session E (Week 8)</v>
      </c>
      <c r="G267" s="2">
        <v>46080</v>
      </c>
    </row>
    <row r="268" spans="1:7" x14ac:dyDescent="0.3">
      <c r="A268" t="s">
        <v>1405</v>
      </c>
      <c r="B268" s="5" t="str">
        <f>_xlfn.XLOOKUP(Sessions[[#This Row],[ProgramID]], Programs[ProgramID], Programs[ProgramCode], "")</f>
        <v>10W_SQUAT_2</v>
      </c>
      <c r="C268" s="5" t="s">
        <v>870</v>
      </c>
      <c r="D268" s="5">
        <f t="array" ref="D268">SUMPRODUCT( (Sessions[ProgramCode]=Sessions[[#This Row],[ProgramCode]]) *
             (Sessions[SessionCode]=Sessions[[#This Row],[SessionCode]]) *
             (ROW(Sessions[ProgramCode]) &lt;= ROW(Sessions[[#This Row],[ProgramCode]])) )</f>
        <v>8</v>
      </c>
      <c r="E268" s="5" t="str">
        <f>Sessions[[#This Row],[ProgramCode]] &amp; "-" &amp; Sessions[[#This Row],[SessionCode]] &amp; "-" &amp; TEXT(Sessions[[#This Row],[SessionOrder]],"00")</f>
        <v>10W_SQUAT_2-F-08</v>
      </c>
      <c r="F268" s="5" t="str">
        <f>Sessions[[#This Row],[ProgramCode]] &amp; " – Session " &amp; Sessions[[#This Row],[SessionCode]] &amp; " (Week " &amp; Sessions[[#This Row],[SessionOrder]] &amp; ")"</f>
        <v>10W_SQUAT_2 – Session F (Week 8)</v>
      </c>
      <c r="G268" s="2">
        <v>46081</v>
      </c>
    </row>
    <row r="269" spans="1:7" x14ac:dyDescent="0.3">
      <c r="A269" t="s">
        <v>1405</v>
      </c>
      <c r="B269" s="5" t="str">
        <f>_xlfn.XLOOKUP(Sessions[[#This Row],[ProgramID]], Programs[ProgramID], Programs[ProgramCode], "")</f>
        <v>10W_SQUAT_2</v>
      </c>
      <c r="C269" s="5" t="s">
        <v>849</v>
      </c>
      <c r="D269" s="5">
        <f t="array" ref="D269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269" s="5" t="str">
        <f>Sessions[[#This Row],[ProgramCode]] &amp; "-" &amp; Sessions[[#This Row],[SessionCode]] &amp; "-" &amp; TEXT(Sessions[[#This Row],[SessionOrder]],"00")</f>
        <v>10W_SQUAT_2-A-09</v>
      </c>
      <c r="F269" s="5" t="str">
        <f>Sessions[[#This Row],[ProgramCode]] &amp; " – Session " &amp; Sessions[[#This Row],[SessionCode]] &amp; " (Week " &amp; Sessions[[#This Row],[SessionOrder]] &amp; ")"</f>
        <v>10W_SQUAT_2 – Session A (Week 9)</v>
      </c>
      <c r="G269" s="2">
        <v>46082</v>
      </c>
    </row>
    <row r="270" spans="1:7" x14ac:dyDescent="0.3">
      <c r="A270" t="s">
        <v>1405</v>
      </c>
      <c r="B270" s="5" t="str">
        <f>_xlfn.XLOOKUP(Sessions[[#This Row],[ProgramID]], Programs[ProgramID], Programs[ProgramCode], "")</f>
        <v>10W_SQUAT_2</v>
      </c>
      <c r="C270" s="5" t="s">
        <v>852</v>
      </c>
      <c r="D270" s="5">
        <f t="array" ref="D270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270" s="5" t="str">
        <f>Sessions[[#This Row],[ProgramCode]] &amp; "-" &amp; Sessions[[#This Row],[SessionCode]] &amp; "-" &amp; TEXT(Sessions[[#This Row],[SessionOrder]],"00")</f>
        <v>10W_SQUAT_2-B-09</v>
      </c>
      <c r="F270" s="5" t="str">
        <f>Sessions[[#This Row],[ProgramCode]] &amp; " – Session " &amp; Sessions[[#This Row],[SessionCode]] &amp; " (Week " &amp; Sessions[[#This Row],[SessionOrder]] &amp; ")"</f>
        <v>10W_SQUAT_2 – Session B (Week 9)</v>
      </c>
      <c r="G270" s="2">
        <v>46083</v>
      </c>
    </row>
    <row r="271" spans="1:7" x14ac:dyDescent="0.3">
      <c r="A271" t="s">
        <v>1405</v>
      </c>
      <c r="B271" s="5" t="str">
        <f>_xlfn.XLOOKUP(Sessions[[#This Row],[ProgramID]], Programs[ProgramID], Programs[ProgramCode], "")</f>
        <v>10W_SQUAT_2</v>
      </c>
      <c r="C271" s="5" t="s">
        <v>855</v>
      </c>
      <c r="D271" s="5">
        <f t="array" ref="D271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271" s="5" t="str">
        <f>Sessions[[#This Row],[ProgramCode]] &amp; "-" &amp; Sessions[[#This Row],[SessionCode]] &amp; "-" &amp; TEXT(Sessions[[#This Row],[SessionOrder]],"00")</f>
        <v>10W_SQUAT_2-C-09</v>
      </c>
      <c r="F271" s="5" t="str">
        <f>Sessions[[#This Row],[ProgramCode]] &amp; " – Session " &amp; Sessions[[#This Row],[SessionCode]] &amp; " (Week " &amp; Sessions[[#This Row],[SessionOrder]] &amp; ")"</f>
        <v>10W_SQUAT_2 – Session C (Week 9)</v>
      </c>
      <c r="G271" s="2">
        <v>46084</v>
      </c>
    </row>
    <row r="272" spans="1:7" x14ac:dyDescent="0.3">
      <c r="A272" t="s">
        <v>1405</v>
      </c>
      <c r="B272" s="5" t="str">
        <f>_xlfn.XLOOKUP(Sessions[[#This Row],[ProgramID]], Programs[ProgramID], Programs[ProgramCode], "")</f>
        <v>10W_SQUAT_2</v>
      </c>
      <c r="C272" s="5" t="s">
        <v>863</v>
      </c>
      <c r="D272" s="5">
        <f t="array" ref="D272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272" s="5" t="str">
        <f>Sessions[[#This Row],[ProgramCode]] &amp; "-" &amp; Sessions[[#This Row],[SessionCode]] &amp; "-" &amp; TEXT(Sessions[[#This Row],[SessionOrder]],"00")</f>
        <v>10W_SQUAT_2-D-09</v>
      </c>
      <c r="F272" s="5" t="str">
        <f>Sessions[[#This Row],[ProgramCode]] &amp; " – Session " &amp; Sessions[[#This Row],[SessionCode]] &amp; " (Week " &amp; Sessions[[#This Row],[SessionOrder]] &amp; ")"</f>
        <v>10W_SQUAT_2 – Session D (Week 9)</v>
      </c>
      <c r="G272" s="2">
        <v>46085</v>
      </c>
    </row>
    <row r="273" spans="1:7" x14ac:dyDescent="0.3">
      <c r="A273" t="s">
        <v>1405</v>
      </c>
      <c r="B273" s="5" t="str">
        <f>_xlfn.XLOOKUP(Sessions[[#This Row],[ProgramID]], Programs[ProgramID], Programs[ProgramCode], "")</f>
        <v>10W_SQUAT_2</v>
      </c>
      <c r="C273" s="5" t="s">
        <v>869</v>
      </c>
      <c r="D273" s="5">
        <f t="array" ref="D273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273" s="5" t="str">
        <f>Sessions[[#This Row],[ProgramCode]] &amp; "-" &amp; Sessions[[#This Row],[SessionCode]] &amp; "-" &amp; TEXT(Sessions[[#This Row],[SessionOrder]],"00")</f>
        <v>10W_SQUAT_2-E-09</v>
      </c>
      <c r="F273" s="5" t="str">
        <f>Sessions[[#This Row],[ProgramCode]] &amp; " – Session " &amp; Sessions[[#This Row],[SessionCode]] &amp; " (Week " &amp; Sessions[[#This Row],[SessionOrder]] &amp; ")"</f>
        <v>10W_SQUAT_2 – Session E (Week 9)</v>
      </c>
      <c r="G273" s="2">
        <v>46086</v>
      </c>
    </row>
    <row r="274" spans="1:7" x14ac:dyDescent="0.3">
      <c r="A274" t="s">
        <v>1405</v>
      </c>
      <c r="B274" s="5" t="str">
        <f>_xlfn.XLOOKUP(Sessions[[#This Row],[ProgramID]], Programs[ProgramID], Programs[ProgramCode], "")</f>
        <v>10W_SQUAT_2</v>
      </c>
      <c r="C274" s="5" t="s">
        <v>870</v>
      </c>
      <c r="D274" s="5">
        <f t="array" ref="D274">SUMPRODUCT( (Sessions[ProgramCode]=Sessions[[#This Row],[ProgramCode]]) *
             (Sessions[SessionCode]=Sessions[[#This Row],[SessionCode]]) *
             (ROW(Sessions[ProgramCode]) &lt;= ROW(Sessions[[#This Row],[ProgramCode]])) )</f>
        <v>9</v>
      </c>
      <c r="E274" s="5" t="str">
        <f>Sessions[[#This Row],[ProgramCode]] &amp; "-" &amp; Sessions[[#This Row],[SessionCode]] &amp; "-" &amp; TEXT(Sessions[[#This Row],[SessionOrder]],"00")</f>
        <v>10W_SQUAT_2-F-09</v>
      </c>
      <c r="F274" s="5" t="str">
        <f>Sessions[[#This Row],[ProgramCode]] &amp; " – Session " &amp; Sessions[[#This Row],[SessionCode]] &amp; " (Week " &amp; Sessions[[#This Row],[SessionOrder]] &amp; ")"</f>
        <v>10W_SQUAT_2 – Session F (Week 9)</v>
      </c>
      <c r="G274" s="2">
        <v>46087</v>
      </c>
    </row>
    <row r="275" spans="1:7" x14ac:dyDescent="0.3">
      <c r="A275" t="s">
        <v>1405</v>
      </c>
      <c r="B275" s="5" t="str">
        <f>_xlfn.XLOOKUP(Sessions[[#This Row],[ProgramID]], Programs[ProgramID], Programs[ProgramCode], "")</f>
        <v>10W_SQUAT_2</v>
      </c>
      <c r="C275" s="5" t="s">
        <v>849</v>
      </c>
      <c r="D275" s="5">
        <f t="array" ref="D275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275" s="5" t="str">
        <f>Sessions[[#This Row],[ProgramCode]] &amp; "-" &amp; Sessions[[#This Row],[SessionCode]] &amp; "-" &amp; TEXT(Sessions[[#This Row],[SessionOrder]],"00")</f>
        <v>10W_SQUAT_2-A-10</v>
      </c>
      <c r="F275" s="5" t="str">
        <f>Sessions[[#This Row],[ProgramCode]] &amp; " – Session " &amp; Sessions[[#This Row],[SessionCode]] &amp; " (Week " &amp; Sessions[[#This Row],[SessionOrder]] &amp; ")"</f>
        <v>10W_SQUAT_2 – Session A (Week 10)</v>
      </c>
      <c r="G275" s="2">
        <v>46088</v>
      </c>
    </row>
    <row r="276" spans="1:7" x14ac:dyDescent="0.3">
      <c r="A276" t="s">
        <v>1405</v>
      </c>
      <c r="B276" s="5" t="str">
        <f>_xlfn.XLOOKUP(Sessions[[#This Row],[ProgramID]], Programs[ProgramID], Programs[ProgramCode], "")</f>
        <v>10W_SQUAT_2</v>
      </c>
      <c r="C276" s="5" t="s">
        <v>852</v>
      </c>
      <c r="D276" s="5">
        <f t="array" ref="D276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276" s="5" t="str">
        <f>Sessions[[#This Row],[ProgramCode]] &amp; "-" &amp; Sessions[[#This Row],[SessionCode]] &amp; "-" &amp; TEXT(Sessions[[#This Row],[SessionOrder]],"00")</f>
        <v>10W_SQUAT_2-B-10</v>
      </c>
      <c r="F276" s="5" t="str">
        <f>Sessions[[#This Row],[ProgramCode]] &amp; " – Session " &amp; Sessions[[#This Row],[SessionCode]] &amp; " (Week " &amp; Sessions[[#This Row],[SessionOrder]] &amp; ")"</f>
        <v>10W_SQUAT_2 – Session B (Week 10)</v>
      </c>
      <c r="G276" s="2">
        <v>46089</v>
      </c>
    </row>
    <row r="277" spans="1:7" x14ac:dyDescent="0.3">
      <c r="A277" t="s">
        <v>1405</v>
      </c>
      <c r="B277" s="5" t="str">
        <f>_xlfn.XLOOKUP(Sessions[[#This Row],[ProgramID]], Programs[ProgramID], Programs[ProgramCode], "")</f>
        <v>10W_SQUAT_2</v>
      </c>
      <c r="C277" s="5" t="s">
        <v>855</v>
      </c>
      <c r="D277" s="5">
        <f t="array" ref="D277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277" s="5" t="str">
        <f>Sessions[[#This Row],[ProgramCode]] &amp; "-" &amp; Sessions[[#This Row],[SessionCode]] &amp; "-" &amp; TEXT(Sessions[[#This Row],[SessionOrder]],"00")</f>
        <v>10W_SQUAT_2-C-10</v>
      </c>
      <c r="F277" s="5" t="str">
        <f>Sessions[[#This Row],[ProgramCode]] &amp; " – Session " &amp; Sessions[[#This Row],[SessionCode]] &amp; " (Week " &amp; Sessions[[#This Row],[SessionOrder]] &amp; ")"</f>
        <v>10W_SQUAT_2 – Session C (Week 10)</v>
      </c>
      <c r="G277" s="2">
        <v>46090</v>
      </c>
    </row>
    <row r="278" spans="1:7" x14ac:dyDescent="0.3">
      <c r="A278" t="s">
        <v>1405</v>
      </c>
      <c r="B278" s="5" t="str">
        <f>_xlfn.XLOOKUP(Sessions[[#This Row],[ProgramID]], Programs[ProgramID], Programs[ProgramCode], "")</f>
        <v>10W_SQUAT_2</v>
      </c>
      <c r="C278" s="5" t="s">
        <v>863</v>
      </c>
      <c r="D278" s="5">
        <f t="array" ref="D278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278" s="5" t="str">
        <f>Sessions[[#This Row],[ProgramCode]] &amp; "-" &amp; Sessions[[#This Row],[SessionCode]] &amp; "-" &amp; TEXT(Sessions[[#This Row],[SessionOrder]],"00")</f>
        <v>10W_SQUAT_2-D-10</v>
      </c>
      <c r="F278" s="5" t="str">
        <f>Sessions[[#This Row],[ProgramCode]] &amp; " – Session " &amp; Sessions[[#This Row],[SessionCode]] &amp; " (Week " &amp; Sessions[[#This Row],[SessionOrder]] &amp; ")"</f>
        <v>10W_SQUAT_2 – Session D (Week 10)</v>
      </c>
      <c r="G278" s="2">
        <v>46091</v>
      </c>
    </row>
    <row r="279" spans="1:7" x14ac:dyDescent="0.3">
      <c r="A279" t="s">
        <v>1405</v>
      </c>
      <c r="B279" s="5" t="str">
        <f>_xlfn.XLOOKUP(Sessions[[#This Row],[ProgramID]], Programs[ProgramID], Programs[ProgramCode], "")</f>
        <v>10W_SQUAT_2</v>
      </c>
      <c r="C279" s="5" t="s">
        <v>869</v>
      </c>
      <c r="D279" s="5">
        <f t="array" ref="D279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279" s="5" t="str">
        <f>Sessions[[#This Row],[ProgramCode]] &amp; "-" &amp; Sessions[[#This Row],[SessionCode]] &amp; "-" &amp; TEXT(Sessions[[#This Row],[SessionOrder]],"00")</f>
        <v>10W_SQUAT_2-E-10</v>
      </c>
      <c r="F279" s="5" t="str">
        <f>Sessions[[#This Row],[ProgramCode]] &amp; " – Session " &amp; Sessions[[#This Row],[SessionCode]] &amp; " (Week " &amp; Sessions[[#This Row],[SessionOrder]] &amp; ")"</f>
        <v>10W_SQUAT_2 – Session E (Week 10)</v>
      </c>
      <c r="G279" s="2">
        <v>46092</v>
      </c>
    </row>
    <row r="280" spans="1:7" x14ac:dyDescent="0.3">
      <c r="A280" t="s">
        <v>1405</v>
      </c>
      <c r="B280" s="5" t="str">
        <f>_xlfn.XLOOKUP(Sessions[[#This Row],[ProgramID]], Programs[ProgramID], Programs[ProgramCode], "")</f>
        <v>10W_SQUAT_2</v>
      </c>
      <c r="C280" s="5" t="s">
        <v>870</v>
      </c>
      <c r="D280" s="5">
        <f t="array" ref="D280">SUMPRODUCT( (Sessions[ProgramCode]=Sessions[[#This Row],[ProgramCode]]) *
             (Sessions[SessionCode]=Sessions[[#This Row],[SessionCode]]) *
             (ROW(Sessions[ProgramCode]) &lt;= ROW(Sessions[[#This Row],[ProgramCode]])) )</f>
        <v>10</v>
      </c>
      <c r="E280" s="5" t="str">
        <f>Sessions[[#This Row],[ProgramCode]] &amp; "-" &amp; Sessions[[#This Row],[SessionCode]] &amp; "-" &amp; TEXT(Sessions[[#This Row],[SessionOrder]],"00")</f>
        <v>10W_SQUAT_2-F-10</v>
      </c>
      <c r="F280" s="5" t="str">
        <f>Sessions[[#This Row],[ProgramCode]] &amp; " – Session " &amp; Sessions[[#This Row],[SessionCode]] &amp; " (Week " &amp; Sessions[[#This Row],[SessionOrder]] &amp; ")"</f>
        <v>10W_SQUAT_2 – Session F (Week 10)</v>
      </c>
      <c r="G280" s="2">
        <v>46093</v>
      </c>
    </row>
    <row r="281" spans="1:7" x14ac:dyDescent="0.3">
      <c r="A281" t="s">
        <v>1501</v>
      </c>
      <c r="B281" s="5" t="str">
        <f>_xlfn.XLOOKUP(Sessions[[#This Row],[ProgramID]], Programs[ProgramID], Programs[ProgramCode], "")</f>
        <v>PHASE_ONE_2026</v>
      </c>
      <c r="C281" s="5" t="s">
        <v>849</v>
      </c>
      <c r="D281" s="5" cm="1">
        <f t="array" ref="D281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81" s="5" t="str">
        <f>Sessions[[#This Row],[ProgramCode]] &amp; "-" &amp; Sessions[[#This Row],[SessionCode]] &amp; "-" &amp; TEXT(Sessions[[#This Row],[SessionOrder]],"00")</f>
        <v>PHASE_ONE_2026-A-01</v>
      </c>
      <c r="F281" s="5" t="str">
        <f>Sessions[[#This Row],[ProgramCode]] &amp; " – Session " &amp; Sessions[[#This Row],[SessionCode]] &amp; " (Week " &amp; Sessions[[#This Row],[SessionOrder]] &amp; ")"</f>
        <v>PHASE_ONE_2026 – Session A (Week 1)</v>
      </c>
      <c r="G281" s="2">
        <v>46062</v>
      </c>
    </row>
    <row r="282" spans="1:7" x14ac:dyDescent="0.3">
      <c r="A282" t="s">
        <v>1501</v>
      </c>
      <c r="B282" s="5" t="str">
        <f>_xlfn.XLOOKUP(Sessions[[#This Row],[ProgramID]], Programs[ProgramID], Programs[ProgramCode], "")</f>
        <v>PHASE_ONE_2026</v>
      </c>
      <c r="C282" s="5" t="s">
        <v>852</v>
      </c>
      <c r="D282" s="5" cm="1">
        <f t="array" ref="D282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82" s="5" t="str">
        <f>Sessions[[#This Row],[ProgramCode]] &amp; "-" &amp; Sessions[[#This Row],[SessionCode]] &amp; "-" &amp; TEXT(Sessions[[#This Row],[SessionOrder]],"00")</f>
        <v>PHASE_ONE_2026-B-01</v>
      </c>
      <c r="F282" s="5" t="str">
        <f>Sessions[[#This Row],[ProgramCode]] &amp; " – Session " &amp; Sessions[[#This Row],[SessionCode]] &amp; " (Week " &amp; Sessions[[#This Row],[SessionOrder]] &amp; ")"</f>
        <v>PHASE_ONE_2026 – Session B (Week 1)</v>
      </c>
      <c r="G282" s="2">
        <v>46063</v>
      </c>
    </row>
    <row r="283" spans="1:7" x14ac:dyDescent="0.3">
      <c r="A283" t="s">
        <v>1501</v>
      </c>
      <c r="B283" s="5" t="str">
        <f>_xlfn.XLOOKUP(Sessions[[#This Row],[ProgramID]], Programs[ProgramID], Programs[ProgramCode], "")</f>
        <v>PHASE_ONE_2026</v>
      </c>
      <c r="C283" s="5" t="s">
        <v>855</v>
      </c>
      <c r="D283" s="5" cm="1">
        <f t="array" ref="D283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83" s="5" t="str">
        <f>Sessions[[#This Row],[ProgramCode]] &amp; "-" &amp; Sessions[[#This Row],[SessionCode]] &amp; "-" &amp; TEXT(Sessions[[#This Row],[SessionOrder]],"00")</f>
        <v>PHASE_ONE_2026-C-01</v>
      </c>
      <c r="F283" s="5" t="str">
        <f>Sessions[[#This Row],[ProgramCode]] &amp; " – Session " &amp; Sessions[[#This Row],[SessionCode]] &amp; " (Week " &amp; Sessions[[#This Row],[SessionOrder]] &amp; ")"</f>
        <v>PHASE_ONE_2026 – Session C (Week 1)</v>
      </c>
      <c r="G283" s="2">
        <v>46064</v>
      </c>
    </row>
    <row r="284" spans="1:7" x14ac:dyDescent="0.3">
      <c r="A284" t="s">
        <v>1501</v>
      </c>
      <c r="B284" s="5" t="str">
        <f>_xlfn.XLOOKUP(Sessions[[#This Row],[ProgramID]], Programs[ProgramID], Programs[ProgramCode], "")</f>
        <v>PHASE_ONE_2026</v>
      </c>
      <c r="C284" s="5" t="s">
        <v>863</v>
      </c>
      <c r="D284" s="5" cm="1">
        <f t="array" ref="D284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84" s="5" t="str">
        <f>Sessions[[#This Row],[ProgramCode]] &amp; "-" &amp; Sessions[[#This Row],[SessionCode]] &amp; "-" &amp; TEXT(Sessions[[#This Row],[SessionOrder]],"00")</f>
        <v>PHASE_ONE_2026-D-01</v>
      </c>
      <c r="F284" s="5" t="str">
        <f>Sessions[[#This Row],[ProgramCode]] &amp; " – Session " &amp; Sessions[[#This Row],[SessionCode]] &amp; " (Week " &amp; Sessions[[#This Row],[SessionOrder]] &amp; ")"</f>
        <v>PHASE_ONE_2026 – Session D (Week 1)</v>
      </c>
      <c r="G284" s="2">
        <v>46065</v>
      </c>
    </row>
    <row r="285" spans="1:7" x14ac:dyDescent="0.3">
      <c r="A285" t="s">
        <v>1501</v>
      </c>
      <c r="B285" s="5" t="str">
        <f>_xlfn.XLOOKUP(Sessions[[#This Row],[ProgramID]], Programs[ProgramID], Programs[ProgramCode], "")</f>
        <v>PHASE_ONE_2026</v>
      </c>
      <c r="C285" s="5" t="s">
        <v>869</v>
      </c>
      <c r="D285" s="5" cm="1">
        <f t="array" ref="D285">SUMPRODUCT( (Sessions[ProgramCode]=Sessions[[#This Row],[ProgramCode]]) *
             (Sessions[SessionCode]=Sessions[[#This Row],[SessionCode]]) *
             (ROW(Sessions[ProgramCode]) &lt;= ROW(Sessions[[#This Row],[ProgramCode]])) )</f>
        <v>1</v>
      </c>
      <c r="E285" s="5" t="str">
        <f>Sessions[[#This Row],[ProgramCode]] &amp; "-" &amp; Sessions[[#This Row],[SessionCode]] &amp; "-" &amp; TEXT(Sessions[[#This Row],[SessionOrder]],"00")</f>
        <v>PHASE_ONE_2026-E-01</v>
      </c>
      <c r="F285" s="5" t="str">
        <f>Sessions[[#This Row],[ProgramCode]] &amp; " – Session " &amp; Sessions[[#This Row],[SessionCode]] &amp; " (Week " &amp; Sessions[[#This Row],[SessionOrder]] &amp; ")"</f>
        <v>PHASE_ONE_2026 – Session E (Week 1)</v>
      </c>
      <c r="G285" s="2">
        <v>46066</v>
      </c>
    </row>
    <row r="286" spans="1:7" x14ac:dyDescent="0.3">
      <c r="A286" t="s">
        <v>1501</v>
      </c>
      <c r="B286" s="5" t="str">
        <f>_xlfn.XLOOKUP(Sessions[[#This Row],[ProgramID]], Programs[ProgramID], Programs[ProgramCode], "")</f>
        <v>PHASE_ONE_2026</v>
      </c>
      <c r="C286" s="5" t="s">
        <v>849</v>
      </c>
      <c r="D286" s="5" cm="1">
        <f t="array" ref="D286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86" s="5" t="str">
        <f>Sessions[[#This Row],[ProgramCode]] &amp; "-" &amp; Sessions[[#This Row],[SessionCode]] &amp; "-" &amp; TEXT(Sessions[[#This Row],[SessionOrder]],"00")</f>
        <v>PHASE_ONE_2026-A-02</v>
      </c>
      <c r="F286" s="5" t="str">
        <f>Sessions[[#This Row],[ProgramCode]] &amp; " – Session " &amp; Sessions[[#This Row],[SessionCode]] &amp; " (Week " &amp; Sessions[[#This Row],[SessionOrder]] &amp; ")"</f>
        <v>PHASE_ONE_2026 – Session A (Week 2)</v>
      </c>
      <c r="G286" s="2">
        <v>46158</v>
      </c>
    </row>
    <row r="287" spans="1:7" x14ac:dyDescent="0.3">
      <c r="A287" t="s">
        <v>1501</v>
      </c>
      <c r="B287" s="5" t="str">
        <f>_xlfn.XLOOKUP(Sessions[[#This Row],[ProgramID]], Programs[ProgramID], Programs[ProgramCode], "")</f>
        <v>PHASE_ONE_2026</v>
      </c>
      <c r="C287" s="5" t="s">
        <v>852</v>
      </c>
      <c r="D287" s="5" cm="1">
        <f t="array" ref="D287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87" s="5" t="str">
        <f>Sessions[[#This Row],[ProgramCode]] &amp; "-" &amp; Sessions[[#This Row],[SessionCode]] &amp; "-" &amp; TEXT(Sessions[[#This Row],[SessionOrder]],"00")</f>
        <v>PHASE_ONE_2026-B-02</v>
      </c>
      <c r="F287" s="5" t="str">
        <f>Sessions[[#This Row],[ProgramCode]] &amp; " – Session " &amp; Sessions[[#This Row],[SessionCode]] &amp; " (Week " &amp; Sessions[[#This Row],[SessionOrder]] &amp; ")"</f>
        <v>PHASE_ONE_2026 – Session B (Week 2)</v>
      </c>
      <c r="G287" s="2">
        <v>46159</v>
      </c>
    </row>
    <row r="288" spans="1:7" x14ac:dyDescent="0.3">
      <c r="A288" t="s">
        <v>1501</v>
      </c>
      <c r="B288" s="5" t="str">
        <f>_xlfn.XLOOKUP(Sessions[[#This Row],[ProgramID]], Programs[ProgramID], Programs[ProgramCode], "")</f>
        <v>PHASE_ONE_2026</v>
      </c>
      <c r="C288" s="5" t="s">
        <v>855</v>
      </c>
      <c r="D288" s="5" cm="1">
        <f t="array" ref="D288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88" s="5" t="str">
        <f>Sessions[[#This Row],[ProgramCode]] &amp; "-" &amp; Sessions[[#This Row],[SessionCode]] &amp; "-" &amp; TEXT(Sessions[[#This Row],[SessionOrder]],"00")</f>
        <v>PHASE_ONE_2026-C-02</v>
      </c>
      <c r="F288" s="5" t="str">
        <f>Sessions[[#This Row],[ProgramCode]] &amp; " – Session " &amp; Sessions[[#This Row],[SessionCode]] &amp; " (Week " &amp; Sessions[[#This Row],[SessionOrder]] &amp; ")"</f>
        <v>PHASE_ONE_2026 – Session C (Week 2)</v>
      </c>
      <c r="G288" s="2">
        <v>46160</v>
      </c>
    </row>
    <row r="289" spans="1:7" x14ac:dyDescent="0.3">
      <c r="A289" t="s">
        <v>1501</v>
      </c>
      <c r="B289" s="5" t="str">
        <f>_xlfn.XLOOKUP(Sessions[[#This Row],[ProgramID]], Programs[ProgramID], Programs[ProgramCode], "")</f>
        <v>PHASE_ONE_2026</v>
      </c>
      <c r="C289" s="5" t="s">
        <v>863</v>
      </c>
      <c r="D289" s="5" cm="1">
        <f t="array" ref="D289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89" s="5" t="str">
        <f>Sessions[[#This Row],[ProgramCode]] &amp; "-" &amp; Sessions[[#This Row],[SessionCode]] &amp; "-" &amp; TEXT(Sessions[[#This Row],[SessionOrder]],"00")</f>
        <v>PHASE_ONE_2026-D-02</v>
      </c>
      <c r="F289" s="5" t="str">
        <f>Sessions[[#This Row],[ProgramCode]] &amp; " – Session " &amp; Sessions[[#This Row],[SessionCode]] &amp; " (Week " &amp; Sessions[[#This Row],[SessionOrder]] &amp; ")"</f>
        <v>PHASE_ONE_2026 – Session D (Week 2)</v>
      </c>
      <c r="G289" s="2">
        <v>46161</v>
      </c>
    </row>
    <row r="290" spans="1:7" x14ac:dyDescent="0.3">
      <c r="A290" t="s">
        <v>1501</v>
      </c>
      <c r="B290" s="5" t="str">
        <f>_xlfn.XLOOKUP(Sessions[[#This Row],[ProgramID]], Programs[ProgramID], Programs[ProgramCode], "")</f>
        <v>PHASE_ONE_2026</v>
      </c>
      <c r="C290" s="5" t="s">
        <v>869</v>
      </c>
      <c r="D290" s="5" cm="1">
        <f t="array" ref="D290">SUMPRODUCT( (Sessions[ProgramCode]=Sessions[[#This Row],[ProgramCode]]) *
             (Sessions[SessionCode]=Sessions[[#This Row],[SessionCode]]) *
             (ROW(Sessions[ProgramCode]) &lt;= ROW(Sessions[[#This Row],[ProgramCode]])) )</f>
        <v>2</v>
      </c>
      <c r="E290" s="5" t="str">
        <f>Sessions[[#This Row],[ProgramCode]] &amp; "-" &amp; Sessions[[#This Row],[SessionCode]] &amp; "-" &amp; TEXT(Sessions[[#This Row],[SessionOrder]],"00")</f>
        <v>PHASE_ONE_2026-E-02</v>
      </c>
      <c r="F290" s="5" t="str">
        <f>Sessions[[#This Row],[ProgramCode]] &amp; " – Session " &amp; Sessions[[#This Row],[SessionCode]] &amp; " (Week " &amp; Sessions[[#This Row],[SessionOrder]] &amp; ")"</f>
        <v>PHASE_ONE_2026 – Session E (Week 2)</v>
      </c>
      <c r="G290" s="2">
        <v>46162</v>
      </c>
    </row>
    <row r="291" spans="1:7" x14ac:dyDescent="0.3">
      <c r="A291" t="s">
        <v>1501</v>
      </c>
      <c r="B291" s="5" t="str">
        <f>_xlfn.XLOOKUP(Sessions[[#This Row],[ProgramID]], Programs[ProgramID], Programs[ProgramCode], "")</f>
        <v>PHASE_ONE_2026</v>
      </c>
      <c r="C291" s="5" t="s">
        <v>849</v>
      </c>
      <c r="D291" s="5" cm="1">
        <f t="array" ref="D291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91" s="5" t="str">
        <f>Sessions[[#This Row],[ProgramCode]] &amp; "-" &amp; Sessions[[#This Row],[SessionCode]] &amp; "-" &amp; TEXT(Sessions[[#This Row],[SessionOrder]],"00")</f>
        <v>PHASE_ONE_2026-A-03</v>
      </c>
      <c r="F291" s="5" t="str">
        <f>Sessions[[#This Row],[ProgramCode]] &amp; " – Session " &amp; Sessions[[#This Row],[SessionCode]] &amp; " (Week " &amp; Sessions[[#This Row],[SessionOrder]] &amp; ")"</f>
        <v>PHASE_ONE_2026 – Session A (Week 3)</v>
      </c>
      <c r="G291" s="2">
        <v>46165</v>
      </c>
    </row>
    <row r="292" spans="1:7" x14ac:dyDescent="0.3">
      <c r="A292" t="s">
        <v>1501</v>
      </c>
      <c r="B292" s="5" t="str">
        <f>_xlfn.XLOOKUP(Sessions[[#This Row],[ProgramID]], Programs[ProgramID], Programs[ProgramCode], "")</f>
        <v>PHASE_ONE_2026</v>
      </c>
      <c r="C292" s="5" t="s">
        <v>852</v>
      </c>
      <c r="D292" s="5" cm="1">
        <f t="array" ref="D292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92" s="5" t="str">
        <f>Sessions[[#This Row],[ProgramCode]] &amp; "-" &amp; Sessions[[#This Row],[SessionCode]] &amp; "-" &amp; TEXT(Sessions[[#This Row],[SessionOrder]],"00")</f>
        <v>PHASE_ONE_2026-B-03</v>
      </c>
      <c r="F292" s="5" t="str">
        <f>Sessions[[#This Row],[ProgramCode]] &amp; " – Session " &amp; Sessions[[#This Row],[SessionCode]] &amp; " (Week " &amp; Sessions[[#This Row],[SessionOrder]] &amp; ")"</f>
        <v>PHASE_ONE_2026 – Session B (Week 3)</v>
      </c>
      <c r="G292" s="2">
        <v>46166</v>
      </c>
    </row>
    <row r="293" spans="1:7" x14ac:dyDescent="0.3">
      <c r="A293" t="s">
        <v>1501</v>
      </c>
      <c r="B293" s="5" t="str">
        <f>_xlfn.XLOOKUP(Sessions[[#This Row],[ProgramID]], Programs[ProgramID], Programs[ProgramCode], "")</f>
        <v>PHASE_ONE_2026</v>
      </c>
      <c r="C293" s="5" t="s">
        <v>855</v>
      </c>
      <c r="D293" s="5" cm="1">
        <f t="array" ref="D293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93" s="5" t="str">
        <f>Sessions[[#This Row],[ProgramCode]] &amp; "-" &amp; Sessions[[#This Row],[SessionCode]] &amp; "-" &amp; TEXT(Sessions[[#This Row],[SessionOrder]],"00")</f>
        <v>PHASE_ONE_2026-C-03</v>
      </c>
      <c r="F293" s="5" t="str">
        <f>Sessions[[#This Row],[ProgramCode]] &amp; " – Session " &amp; Sessions[[#This Row],[SessionCode]] &amp; " (Week " &amp; Sessions[[#This Row],[SessionOrder]] &amp; ")"</f>
        <v>PHASE_ONE_2026 – Session C (Week 3)</v>
      </c>
      <c r="G293" s="2">
        <v>46167</v>
      </c>
    </row>
    <row r="294" spans="1:7" x14ac:dyDescent="0.3">
      <c r="A294" t="s">
        <v>1501</v>
      </c>
      <c r="B294" s="5" t="str">
        <f>_xlfn.XLOOKUP(Sessions[[#This Row],[ProgramID]], Programs[ProgramID], Programs[ProgramCode], "")</f>
        <v>PHASE_ONE_2026</v>
      </c>
      <c r="C294" s="5" t="s">
        <v>863</v>
      </c>
      <c r="D294" s="5" cm="1">
        <f t="array" ref="D294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94" s="5" t="str">
        <f>Sessions[[#This Row],[ProgramCode]] &amp; "-" &amp; Sessions[[#This Row],[SessionCode]] &amp; "-" &amp; TEXT(Sessions[[#This Row],[SessionOrder]],"00")</f>
        <v>PHASE_ONE_2026-D-03</v>
      </c>
      <c r="F294" s="5" t="str">
        <f>Sessions[[#This Row],[ProgramCode]] &amp; " – Session " &amp; Sessions[[#This Row],[SessionCode]] &amp; " (Week " &amp; Sessions[[#This Row],[SessionOrder]] &amp; ")"</f>
        <v>PHASE_ONE_2026 – Session D (Week 3)</v>
      </c>
      <c r="G294" s="2">
        <v>46168</v>
      </c>
    </row>
    <row r="295" spans="1:7" x14ac:dyDescent="0.3">
      <c r="A295" t="s">
        <v>1501</v>
      </c>
      <c r="B295" s="5" t="str">
        <f>_xlfn.XLOOKUP(Sessions[[#This Row],[ProgramID]], Programs[ProgramID], Programs[ProgramCode], "")</f>
        <v>PHASE_ONE_2026</v>
      </c>
      <c r="C295" s="5" t="s">
        <v>869</v>
      </c>
      <c r="D295" s="5" cm="1">
        <f t="array" ref="D295">SUMPRODUCT( (Sessions[ProgramCode]=Sessions[[#This Row],[ProgramCode]]) *
             (Sessions[SessionCode]=Sessions[[#This Row],[SessionCode]]) *
             (ROW(Sessions[ProgramCode]) &lt;= ROW(Sessions[[#This Row],[ProgramCode]])) )</f>
        <v>3</v>
      </c>
      <c r="E295" s="5" t="str">
        <f>Sessions[[#This Row],[ProgramCode]] &amp; "-" &amp; Sessions[[#This Row],[SessionCode]] &amp; "-" &amp; TEXT(Sessions[[#This Row],[SessionOrder]],"00")</f>
        <v>PHASE_ONE_2026-E-03</v>
      </c>
      <c r="F295" s="5" t="str">
        <f>Sessions[[#This Row],[ProgramCode]] &amp; " – Session " &amp; Sessions[[#This Row],[SessionCode]] &amp; " (Week " &amp; Sessions[[#This Row],[SessionOrder]] &amp; ")"</f>
        <v>PHASE_ONE_2026 – Session E (Week 3)</v>
      </c>
      <c r="G295" s="2">
        <v>46169</v>
      </c>
    </row>
    <row r="296" spans="1:7" x14ac:dyDescent="0.3">
      <c r="A296" t="s">
        <v>1501</v>
      </c>
      <c r="B296" s="5" t="str">
        <f>_xlfn.XLOOKUP(Sessions[[#This Row],[ProgramID]], Programs[ProgramID], Programs[ProgramCode], "")</f>
        <v>PHASE_ONE_2026</v>
      </c>
      <c r="C296" s="5" t="s">
        <v>849</v>
      </c>
      <c r="D296" s="5" cm="1">
        <f t="array" ref="D296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96" s="5" t="str">
        <f>Sessions[[#This Row],[ProgramCode]] &amp; "-" &amp; Sessions[[#This Row],[SessionCode]] &amp; "-" &amp; TEXT(Sessions[[#This Row],[SessionOrder]],"00")</f>
        <v>PHASE_ONE_2026-A-04</v>
      </c>
      <c r="F296" s="5" t="str">
        <f>Sessions[[#This Row],[ProgramCode]] &amp; " – Session " &amp; Sessions[[#This Row],[SessionCode]] &amp; " (Week " &amp; Sessions[[#This Row],[SessionOrder]] &amp; ")"</f>
        <v>PHASE_ONE_2026 – Session A (Week 4)</v>
      </c>
      <c r="G296" s="2">
        <v>46172</v>
      </c>
    </row>
    <row r="297" spans="1:7" x14ac:dyDescent="0.3">
      <c r="A297" t="s">
        <v>1501</v>
      </c>
      <c r="B297" s="5" t="str">
        <f>_xlfn.XLOOKUP(Sessions[[#This Row],[ProgramID]], Programs[ProgramID], Programs[ProgramCode], "")</f>
        <v>PHASE_ONE_2026</v>
      </c>
      <c r="C297" s="5" t="s">
        <v>852</v>
      </c>
      <c r="D297" s="5" cm="1">
        <f t="array" ref="D297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97" s="5" t="str">
        <f>Sessions[[#This Row],[ProgramCode]] &amp; "-" &amp; Sessions[[#This Row],[SessionCode]] &amp; "-" &amp; TEXT(Sessions[[#This Row],[SessionOrder]],"00")</f>
        <v>PHASE_ONE_2026-B-04</v>
      </c>
      <c r="F297" s="5" t="str">
        <f>Sessions[[#This Row],[ProgramCode]] &amp; " – Session " &amp; Sessions[[#This Row],[SessionCode]] &amp; " (Week " &amp; Sessions[[#This Row],[SessionOrder]] &amp; ")"</f>
        <v>PHASE_ONE_2026 – Session B (Week 4)</v>
      </c>
      <c r="G297" s="2">
        <v>46173</v>
      </c>
    </row>
    <row r="298" spans="1:7" x14ac:dyDescent="0.3">
      <c r="A298" t="s">
        <v>1501</v>
      </c>
      <c r="B298" s="5" t="str">
        <f>_xlfn.XLOOKUP(Sessions[[#This Row],[ProgramID]], Programs[ProgramID], Programs[ProgramCode], "")</f>
        <v>PHASE_ONE_2026</v>
      </c>
      <c r="C298" s="5" t="s">
        <v>855</v>
      </c>
      <c r="D298" s="5" cm="1">
        <f t="array" ref="D298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98" s="5" t="str">
        <f>Sessions[[#This Row],[ProgramCode]] &amp; "-" &amp; Sessions[[#This Row],[SessionCode]] &amp; "-" &amp; TEXT(Sessions[[#This Row],[SessionOrder]],"00")</f>
        <v>PHASE_ONE_2026-C-04</v>
      </c>
      <c r="F298" s="5" t="str">
        <f>Sessions[[#This Row],[ProgramCode]] &amp; " – Session " &amp; Sessions[[#This Row],[SessionCode]] &amp; " (Week " &amp; Sessions[[#This Row],[SessionOrder]] &amp; ")"</f>
        <v>PHASE_ONE_2026 – Session C (Week 4)</v>
      </c>
      <c r="G298" s="2">
        <v>46174</v>
      </c>
    </row>
    <row r="299" spans="1:7" x14ac:dyDescent="0.3">
      <c r="A299" t="s">
        <v>1501</v>
      </c>
      <c r="B299" s="5" t="str">
        <f>_xlfn.XLOOKUP(Sessions[[#This Row],[ProgramID]], Programs[ProgramID], Programs[ProgramCode], "")</f>
        <v>PHASE_ONE_2026</v>
      </c>
      <c r="C299" s="5" t="s">
        <v>863</v>
      </c>
      <c r="D299" s="5" cm="1">
        <f t="array" ref="D299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299" s="5" t="str">
        <f>Sessions[[#This Row],[ProgramCode]] &amp; "-" &amp; Sessions[[#This Row],[SessionCode]] &amp; "-" &amp; TEXT(Sessions[[#This Row],[SessionOrder]],"00")</f>
        <v>PHASE_ONE_2026-D-04</v>
      </c>
      <c r="F299" s="5" t="str">
        <f>Sessions[[#This Row],[ProgramCode]] &amp; " – Session " &amp; Sessions[[#This Row],[SessionCode]] &amp; " (Week " &amp; Sessions[[#This Row],[SessionOrder]] &amp; ")"</f>
        <v>PHASE_ONE_2026 – Session D (Week 4)</v>
      </c>
      <c r="G299" s="2">
        <v>46175</v>
      </c>
    </row>
    <row r="300" spans="1:7" x14ac:dyDescent="0.3">
      <c r="A300" t="s">
        <v>1501</v>
      </c>
      <c r="B300" s="5" t="str">
        <f>_xlfn.XLOOKUP(Sessions[[#This Row],[ProgramID]], Programs[ProgramID], Programs[ProgramCode], "")</f>
        <v>PHASE_ONE_2026</v>
      </c>
      <c r="C300" s="5" t="s">
        <v>869</v>
      </c>
      <c r="D300" s="5" cm="1">
        <f t="array" ref="D300">SUMPRODUCT( (Sessions[ProgramCode]=Sessions[[#This Row],[ProgramCode]]) *
             (Sessions[SessionCode]=Sessions[[#This Row],[SessionCode]]) *
             (ROW(Sessions[ProgramCode]) &lt;= ROW(Sessions[[#This Row],[ProgramCode]])) )</f>
        <v>4</v>
      </c>
      <c r="E300" s="5" t="str">
        <f>Sessions[[#This Row],[ProgramCode]] &amp; "-" &amp; Sessions[[#This Row],[SessionCode]] &amp; "-" &amp; TEXT(Sessions[[#This Row],[SessionOrder]],"00")</f>
        <v>PHASE_ONE_2026-E-04</v>
      </c>
      <c r="F300" s="5" t="str">
        <f>Sessions[[#This Row],[ProgramCode]] &amp; " – Session " &amp; Sessions[[#This Row],[SessionCode]] &amp; " (Week " &amp; Sessions[[#This Row],[SessionOrder]] &amp; ")"</f>
        <v>PHASE_ONE_2026 – Session E (Week 4)</v>
      </c>
      <c r="G300" s="2">
        <v>46176</v>
      </c>
    </row>
    <row r="301" spans="1:7" x14ac:dyDescent="0.3">
      <c r="A301" t="s">
        <v>1501</v>
      </c>
      <c r="B301" s="5" t="str">
        <f>_xlfn.XLOOKUP(Sessions[[#This Row],[ProgramID]], Programs[ProgramID], Programs[ProgramCode], "")</f>
        <v>PHASE_ONE_2026</v>
      </c>
      <c r="C301" s="5" t="s">
        <v>849</v>
      </c>
      <c r="D301" s="5" cm="1">
        <f t="array" ref="D301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301" s="5" t="str">
        <f>Sessions[[#This Row],[ProgramCode]] &amp; "-" &amp; Sessions[[#This Row],[SessionCode]] &amp; "-" &amp; TEXT(Sessions[[#This Row],[SessionOrder]],"00")</f>
        <v>PHASE_ONE_2026-A-05</v>
      </c>
      <c r="F301" s="5" t="str">
        <f>Sessions[[#This Row],[ProgramCode]] &amp; " – Session " &amp; Sessions[[#This Row],[SessionCode]] &amp; " (Week " &amp; Sessions[[#This Row],[SessionOrder]] &amp; ")"</f>
        <v>PHASE_ONE_2026 – Session A (Week 5)</v>
      </c>
      <c r="G301" s="2">
        <v>46179</v>
      </c>
    </row>
    <row r="302" spans="1:7" x14ac:dyDescent="0.3">
      <c r="A302" t="s">
        <v>1501</v>
      </c>
      <c r="B302" s="5" t="str">
        <f>_xlfn.XLOOKUP(Sessions[[#This Row],[ProgramID]], Programs[ProgramID], Programs[ProgramCode], "")</f>
        <v>PHASE_ONE_2026</v>
      </c>
      <c r="C302" s="5" t="s">
        <v>852</v>
      </c>
      <c r="D302" s="5" cm="1">
        <f t="array" ref="D302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302" s="5" t="str">
        <f>Sessions[[#This Row],[ProgramCode]] &amp; "-" &amp; Sessions[[#This Row],[SessionCode]] &amp; "-" &amp; TEXT(Sessions[[#This Row],[SessionOrder]],"00")</f>
        <v>PHASE_ONE_2026-B-05</v>
      </c>
      <c r="F302" s="5" t="str">
        <f>Sessions[[#This Row],[ProgramCode]] &amp; " – Session " &amp; Sessions[[#This Row],[SessionCode]] &amp; " (Week " &amp; Sessions[[#This Row],[SessionOrder]] &amp; ")"</f>
        <v>PHASE_ONE_2026 – Session B (Week 5)</v>
      </c>
      <c r="G302" s="2">
        <v>46180</v>
      </c>
    </row>
    <row r="303" spans="1:7" x14ac:dyDescent="0.3">
      <c r="A303" t="s">
        <v>1501</v>
      </c>
      <c r="B303" s="5" t="str">
        <f>_xlfn.XLOOKUP(Sessions[[#This Row],[ProgramID]], Programs[ProgramID], Programs[ProgramCode], "")</f>
        <v>PHASE_ONE_2026</v>
      </c>
      <c r="C303" s="5" t="s">
        <v>855</v>
      </c>
      <c r="D303" s="5" cm="1">
        <f t="array" ref="D303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303" s="5" t="str">
        <f>Sessions[[#This Row],[ProgramCode]] &amp; "-" &amp; Sessions[[#This Row],[SessionCode]] &amp; "-" &amp; TEXT(Sessions[[#This Row],[SessionOrder]],"00")</f>
        <v>PHASE_ONE_2026-C-05</v>
      </c>
      <c r="F303" s="5" t="str">
        <f>Sessions[[#This Row],[ProgramCode]] &amp; " – Session " &amp; Sessions[[#This Row],[SessionCode]] &amp; " (Week " &amp; Sessions[[#This Row],[SessionOrder]] &amp; ")"</f>
        <v>PHASE_ONE_2026 – Session C (Week 5)</v>
      </c>
      <c r="G303" s="2">
        <v>46181</v>
      </c>
    </row>
    <row r="304" spans="1:7" x14ac:dyDescent="0.3">
      <c r="A304" t="s">
        <v>1501</v>
      </c>
      <c r="B304" s="5" t="str">
        <f>_xlfn.XLOOKUP(Sessions[[#This Row],[ProgramID]], Programs[ProgramID], Programs[ProgramCode], "")</f>
        <v>PHASE_ONE_2026</v>
      </c>
      <c r="C304" s="5" t="s">
        <v>863</v>
      </c>
      <c r="D304" s="5" cm="1">
        <f t="array" ref="D304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304" s="5" t="str">
        <f>Sessions[[#This Row],[ProgramCode]] &amp; "-" &amp; Sessions[[#This Row],[SessionCode]] &amp; "-" &amp; TEXT(Sessions[[#This Row],[SessionOrder]],"00")</f>
        <v>PHASE_ONE_2026-D-05</v>
      </c>
      <c r="F304" s="5" t="str">
        <f>Sessions[[#This Row],[ProgramCode]] &amp; " – Session " &amp; Sessions[[#This Row],[SessionCode]] &amp; " (Week " &amp; Sessions[[#This Row],[SessionOrder]] &amp; ")"</f>
        <v>PHASE_ONE_2026 – Session D (Week 5)</v>
      </c>
      <c r="G304" s="2">
        <v>46182</v>
      </c>
    </row>
    <row r="305" spans="1:7" x14ac:dyDescent="0.3">
      <c r="A305" t="s">
        <v>1501</v>
      </c>
      <c r="B305" s="5" t="str">
        <f>_xlfn.XLOOKUP(Sessions[[#This Row],[ProgramID]], Programs[ProgramID], Programs[ProgramCode], "")</f>
        <v>PHASE_ONE_2026</v>
      </c>
      <c r="C305" s="5" t="s">
        <v>869</v>
      </c>
      <c r="D305" s="5" cm="1">
        <f t="array" ref="D305">SUMPRODUCT( (Sessions[ProgramCode]=Sessions[[#This Row],[ProgramCode]]) *
             (Sessions[SessionCode]=Sessions[[#This Row],[SessionCode]]) *
             (ROW(Sessions[ProgramCode]) &lt;= ROW(Sessions[[#This Row],[ProgramCode]])) )</f>
        <v>5</v>
      </c>
      <c r="E305" s="5" t="str">
        <f>Sessions[[#This Row],[ProgramCode]] &amp; "-" &amp; Sessions[[#This Row],[SessionCode]] &amp; "-" &amp; TEXT(Sessions[[#This Row],[SessionOrder]],"00")</f>
        <v>PHASE_ONE_2026-E-05</v>
      </c>
      <c r="F305" s="5" t="str">
        <f>Sessions[[#This Row],[ProgramCode]] &amp; " – Session " &amp; Sessions[[#This Row],[SessionCode]] &amp; " (Week " &amp; Sessions[[#This Row],[SessionOrder]] &amp; ")"</f>
        <v>PHASE_ONE_2026 – Session E (Week 5)</v>
      </c>
      <c r="G305" s="2">
        <v>46183</v>
      </c>
    </row>
    <row r="306" spans="1:7" x14ac:dyDescent="0.3">
      <c r="A306" t="s">
        <v>1501</v>
      </c>
      <c r="B306" s="5" t="str">
        <f>_xlfn.XLOOKUP(Sessions[[#This Row],[ProgramID]], Programs[ProgramID], Programs[ProgramCode], "")</f>
        <v>PHASE_ONE_2026</v>
      </c>
      <c r="C306" s="5" t="s">
        <v>849</v>
      </c>
      <c r="D306" s="5" cm="1">
        <f t="array" ref="D306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306" s="5" t="str">
        <f>Sessions[[#This Row],[ProgramCode]] &amp; "-" &amp; Sessions[[#This Row],[SessionCode]] &amp; "-" &amp; TEXT(Sessions[[#This Row],[SessionOrder]],"00")</f>
        <v>PHASE_ONE_2026-A-06</v>
      </c>
      <c r="F306" s="5" t="str">
        <f>Sessions[[#This Row],[ProgramCode]] &amp; " – Session " &amp; Sessions[[#This Row],[SessionCode]] &amp; " (Week " &amp; Sessions[[#This Row],[SessionOrder]] &amp; ")"</f>
        <v>PHASE_ONE_2026 – Session A (Week 6)</v>
      </c>
      <c r="G306" s="2">
        <v>46186</v>
      </c>
    </row>
    <row r="307" spans="1:7" x14ac:dyDescent="0.3">
      <c r="A307" t="s">
        <v>1501</v>
      </c>
      <c r="B307" s="5" t="str">
        <f>_xlfn.XLOOKUP(Sessions[[#This Row],[ProgramID]], Programs[ProgramID], Programs[ProgramCode], "")</f>
        <v>PHASE_ONE_2026</v>
      </c>
      <c r="C307" s="5" t="s">
        <v>852</v>
      </c>
      <c r="D307" s="5" cm="1">
        <f t="array" ref="D307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307" s="5" t="str">
        <f>Sessions[[#This Row],[ProgramCode]] &amp; "-" &amp; Sessions[[#This Row],[SessionCode]] &amp; "-" &amp; TEXT(Sessions[[#This Row],[SessionOrder]],"00")</f>
        <v>PHASE_ONE_2026-B-06</v>
      </c>
      <c r="F307" s="5" t="str">
        <f>Sessions[[#This Row],[ProgramCode]] &amp; " – Session " &amp; Sessions[[#This Row],[SessionCode]] &amp; " (Week " &amp; Sessions[[#This Row],[SessionOrder]] &amp; ")"</f>
        <v>PHASE_ONE_2026 – Session B (Week 6)</v>
      </c>
      <c r="G307" s="2">
        <v>46187</v>
      </c>
    </row>
    <row r="308" spans="1:7" x14ac:dyDescent="0.3">
      <c r="A308" t="s">
        <v>1501</v>
      </c>
      <c r="B308" s="5" t="str">
        <f>_xlfn.XLOOKUP(Sessions[[#This Row],[ProgramID]], Programs[ProgramID], Programs[ProgramCode], "")</f>
        <v>PHASE_ONE_2026</v>
      </c>
      <c r="C308" s="5" t="s">
        <v>855</v>
      </c>
      <c r="D308" s="5" cm="1">
        <f t="array" ref="D308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308" s="5" t="str">
        <f>Sessions[[#This Row],[ProgramCode]] &amp; "-" &amp; Sessions[[#This Row],[SessionCode]] &amp; "-" &amp; TEXT(Sessions[[#This Row],[SessionOrder]],"00")</f>
        <v>PHASE_ONE_2026-C-06</v>
      </c>
      <c r="F308" s="5" t="str">
        <f>Sessions[[#This Row],[ProgramCode]] &amp; " – Session " &amp; Sessions[[#This Row],[SessionCode]] &amp; " (Week " &amp; Sessions[[#This Row],[SessionOrder]] &amp; ")"</f>
        <v>PHASE_ONE_2026 – Session C (Week 6)</v>
      </c>
      <c r="G308" s="2">
        <v>46188</v>
      </c>
    </row>
    <row r="309" spans="1:7" x14ac:dyDescent="0.3">
      <c r="A309" t="s">
        <v>1501</v>
      </c>
      <c r="B309" s="5" t="str">
        <f>_xlfn.XLOOKUP(Sessions[[#This Row],[ProgramID]], Programs[ProgramID], Programs[ProgramCode], "")</f>
        <v>PHASE_ONE_2026</v>
      </c>
      <c r="C309" s="5" t="s">
        <v>863</v>
      </c>
      <c r="D309" s="5" cm="1">
        <f t="array" ref="D309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309" s="5" t="str">
        <f>Sessions[[#This Row],[ProgramCode]] &amp; "-" &amp; Sessions[[#This Row],[SessionCode]] &amp; "-" &amp; TEXT(Sessions[[#This Row],[SessionOrder]],"00")</f>
        <v>PHASE_ONE_2026-D-06</v>
      </c>
      <c r="F309" s="5" t="str">
        <f>Sessions[[#This Row],[ProgramCode]] &amp; " – Session " &amp; Sessions[[#This Row],[SessionCode]] &amp; " (Week " &amp; Sessions[[#This Row],[SessionOrder]] &amp; ")"</f>
        <v>PHASE_ONE_2026 – Session D (Week 6)</v>
      </c>
      <c r="G309" s="2">
        <v>46189</v>
      </c>
    </row>
    <row r="310" spans="1:7" x14ac:dyDescent="0.3">
      <c r="A310" t="s">
        <v>1501</v>
      </c>
      <c r="B310" s="5" t="str">
        <f>_xlfn.XLOOKUP(Sessions[[#This Row],[ProgramID]], Programs[ProgramID], Programs[ProgramCode], "")</f>
        <v>PHASE_ONE_2026</v>
      </c>
      <c r="C310" s="5" t="s">
        <v>869</v>
      </c>
      <c r="D310" s="5" cm="1">
        <f t="array" ref="D310">SUMPRODUCT( (Sessions[ProgramCode]=Sessions[[#This Row],[ProgramCode]]) *
             (Sessions[SessionCode]=Sessions[[#This Row],[SessionCode]]) *
             (ROW(Sessions[ProgramCode]) &lt;= ROW(Sessions[[#This Row],[ProgramCode]])) )</f>
        <v>6</v>
      </c>
      <c r="E310" s="5" t="str">
        <f>Sessions[[#This Row],[ProgramCode]] &amp; "-" &amp; Sessions[[#This Row],[SessionCode]] &amp; "-" &amp; TEXT(Sessions[[#This Row],[SessionOrder]],"00")</f>
        <v>PHASE_ONE_2026-E-06</v>
      </c>
      <c r="F310" s="5" t="str">
        <f>Sessions[[#This Row],[ProgramCode]] &amp; " – Session " &amp; Sessions[[#This Row],[SessionCode]] &amp; " (Week " &amp; Sessions[[#This Row],[SessionOrder]] &amp; ")"</f>
        <v>PHASE_ONE_2026 – Session E (Week 6)</v>
      </c>
      <c r="G310" s="2">
        <v>46190</v>
      </c>
    </row>
  </sheetData>
  <phoneticPr fontId="4" type="noConversion"/>
  <dataValidations count="3">
    <dataValidation type="list" showInputMessage="1" showErrorMessage="1" sqref="A2:A310" xr:uid="{00000000-0002-0000-0700-000000000000}">
      <formula1>ProgramIDs</formula1>
    </dataValidation>
    <dataValidation type="list" showInputMessage="1" showErrorMessage="1" sqref="C2:C310" xr:uid="{00000000-0002-0000-0700-000001000000}">
      <formula1>"A,B,C,D,E,F"</formula1>
    </dataValidation>
    <dataValidation type="list" showInputMessage="1" showErrorMessage="1" sqref="E1:E1048576" xr:uid="{00000000-0002-0000-0700-000002000000}">
      <formula1>SessionIDs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41"/>
  <sheetViews>
    <sheetView tabSelected="1" zoomScale="80" zoomScaleNormal="80" workbookViewId="0">
      <pane ySplit="1" topLeftCell="A1093" activePane="bottomLeft" state="frozen"/>
      <selection pane="bottomLeft" activeCell="C1136" sqref="C1136"/>
    </sheetView>
  </sheetViews>
  <sheetFormatPr defaultRowHeight="14.4" x14ac:dyDescent="0.3"/>
  <cols>
    <col min="1" max="1" width="20.88671875" customWidth="1"/>
    <col min="2" max="2" width="29.109375" bestFit="1" customWidth="1"/>
    <col min="3" max="3" width="34.33203125" bestFit="1" customWidth="1"/>
    <col min="4" max="4" width="16.5546875" style="5" customWidth="1"/>
    <col min="5" max="5" width="9.88671875" style="5" customWidth="1"/>
    <col min="6" max="6" width="14.109375" customWidth="1"/>
    <col min="7" max="7" width="10.6640625" bestFit="1" customWidth="1"/>
    <col min="8" max="8" width="14" bestFit="1" customWidth="1"/>
    <col min="9" max="9" width="7.33203125" customWidth="1"/>
    <col min="10" max="10" width="8.44140625" customWidth="1"/>
    <col min="11" max="11" width="99.44140625" bestFit="1" customWidth="1"/>
    <col min="12" max="12" width="21" style="5" customWidth="1"/>
  </cols>
  <sheetData>
    <row r="1" spans="1:12" x14ac:dyDescent="0.3">
      <c r="A1" t="s">
        <v>846</v>
      </c>
      <c r="B1" t="s">
        <v>253</v>
      </c>
      <c r="C1" t="s">
        <v>877</v>
      </c>
      <c r="D1" s="5" t="s">
        <v>265</v>
      </c>
      <c r="E1" s="5" t="s">
        <v>24</v>
      </c>
      <c r="F1" t="s">
        <v>878</v>
      </c>
      <c r="G1" t="s">
        <v>810</v>
      </c>
      <c r="H1" t="s">
        <v>811</v>
      </c>
      <c r="I1" t="s">
        <v>812</v>
      </c>
      <c r="J1" t="s">
        <v>879</v>
      </c>
      <c r="K1" t="s">
        <v>9</v>
      </c>
      <c r="L1" s="5" t="s">
        <v>880</v>
      </c>
    </row>
    <row r="2" spans="1:12" x14ac:dyDescent="0.3">
      <c r="A2" t="s">
        <v>881</v>
      </c>
      <c r="B2" t="s">
        <v>636</v>
      </c>
      <c r="C2" t="str">
        <f>IF(SessionMovements[[#This Row],[MovementID]]="","",
   _xlfn.XLOOKUP(SessionMovements[[#This Row],[MovementID]],MovementLibrary[MovementID],MovementLibrary[Name],"")
)</f>
        <v>Handstand Push-Up (Eccentric)</v>
      </c>
      <c r="D2" s="5" t="str">
        <f>IF(SessionMovements[[#This Row],[MovementID]]="","",
   _xlfn.XLOOKUP(SessionMovements[[#This Row],[MovementID]], MovementLibrary[MovementID], MovementLibrary[Modality], "")
)</f>
        <v>Gymnastics</v>
      </c>
      <c r="E2" s="5" t="str">
        <f>IF(SessionMovements[[#This Row],[MovementID]]="","",
   _xlfn.XLOOKUP(SessionMovements[[#This Row],[MovementID]], MovementLibrary[MovementID], MovementLibrary[Unit], "")
)</f>
        <v>reps</v>
      </c>
      <c r="F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">
        <v>4</v>
      </c>
      <c r="H2">
        <v>3</v>
      </c>
      <c r="K2" t="s">
        <v>882</v>
      </c>
      <c r="L2" s="5" t="str">
        <f>IF(COUNTIF(Sessions[SessionID],SessionMovements[[#This Row],[SessionID]])=0,"❌ Missing","✔ OK")</f>
        <v>✔ OK</v>
      </c>
    </row>
    <row r="3" spans="1:12" x14ac:dyDescent="0.3">
      <c r="A3" t="s">
        <v>881</v>
      </c>
      <c r="B3" t="s">
        <v>639</v>
      </c>
      <c r="C3" t="str">
        <f>IF(SessionMovements[[#This Row],[MovementID]]="","",
   _xlfn.XLOOKUP(SessionMovements[[#This Row],[MovementID]],MovementLibrary[MovementID],MovementLibrary[Name],"")
)</f>
        <v>Deficit Pike Push-Up</v>
      </c>
      <c r="D3" s="5" t="str">
        <f>IF(SessionMovements[[#This Row],[MovementID]]="","",
   _xlfn.XLOOKUP(SessionMovements[[#This Row],[MovementID]], MovementLibrary[MovementID], MovementLibrary[Modality], "")
)</f>
        <v>Gymnastics</v>
      </c>
      <c r="E3" s="5" t="str">
        <f>IF(SessionMovements[[#This Row],[MovementID]]="","",
   _xlfn.XLOOKUP(SessionMovements[[#This Row],[MovementID]], MovementLibrary[MovementID], MovementLibrary[Unit], "")
)</f>
        <v>reps</v>
      </c>
      <c r="F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">
        <v>4</v>
      </c>
      <c r="H3">
        <v>8</v>
      </c>
      <c r="K3" t="s">
        <v>883</v>
      </c>
      <c r="L3" s="5" t="str">
        <f>IF(COUNTIF(Sessions[SessionID],SessionMovements[[#This Row],[SessionID]])=0,"❌ Missing","✔ OK")</f>
        <v>✔ OK</v>
      </c>
    </row>
    <row r="4" spans="1:12" x14ac:dyDescent="0.3">
      <c r="A4" t="s">
        <v>881</v>
      </c>
      <c r="B4" t="s">
        <v>262</v>
      </c>
      <c r="C4" t="str">
        <f>IF(SessionMovements[[#This Row],[MovementID]]="","",
   _xlfn.XLOOKUP(SessionMovements[[#This Row],[MovementID]],MovementLibrary[MovementID],MovementLibrary[Name],"")
)</f>
        <v>Strict Press</v>
      </c>
      <c r="D4" s="5" t="str">
        <f>IF(SessionMovements[[#This Row],[MovementID]]="","",
   _xlfn.XLOOKUP(SessionMovements[[#This Row],[MovementID]], MovementLibrary[MovementID], MovementLibrary[Modality], "")
)</f>
        <v>Barbell</v>
      </c>
      <c r="E4" s="5" t="str">
        <f>IF(SessionMovements[[#This Row],[MovementID]]="","",
   _xlfn.XLOOKUP(SessionMovements[[#This Row],[MovementID]], MovementLibrary[MovementID], MovementLibrary[Unit], "")
)</f>
        <v>kg</v>
      </c>
      <c r="F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">
        <v>3</v>
      </c>
      <c r="H4">
        <v>8</v>
      </c>
      <c r="J4">
        <v>65</v>
      </c>
      <c r="K4" t="s">
        <v>884</v>
      </c>
      <c r="L4" s="5" t="str">
        <f>IF(COUNTIF(Sessions[SessionID],SessionMovements[[#This Row],[SessionID]])=0,"❌ Missing","✔ OK")</f>
        <v>✔ OK</v>
      </c>
    </row>
    <row r="5" spans="1:12" x14ac:dyDescent="0.3">
      <c r="A5" t="s">
        <v>881</v>
      </c>
      <c r="B5" t="s">
        <v>437</v>
      </c>
      <c r="C5" t="str">
        <f>IF(SessionMovements[[#This Row],[MovementID]]="","",
   _xlfn.XLOOKUP(SessionMovements[[#This Row],[MovementID]],MovementLibrary[MovementID],MovementLibrary[Name],"")
)</f>
        <v>Plank Hold</v>
      </c>
      <c r="D5" s="5" t="str">
        <f>IF(SessionMovements[[#This Row],[MovementID]]="","",
   _xlfn.XLOOKUP(SessionMovements[[#This Row],[MovementID]], MovementLibrary[MovementID], MovementLibrary[Modality], "")
)</f>
        <v>Gymnastics</v>
      </c>
      <c r="E5" s="5" t="str">
        <f>IF(SessionMovements[[#This Row],[MovementID]]="","",
   _xlfn.XLOOKUP(SessionMovements[[#This Row],[MovementID]], MovementLibrary[MovementID], MovementLibrary[Unit], "")
)</f>
        <v>sec</v>
      </c>
      <c r="F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">
        <v>3</v>
      </c>
      <c r="H5">
        <v>60</v>
      </c>
      <c r="L5" s="5" t="str">
        <f>IF(COUNTIF(Sessions[SessionID],SessionMovements[[#This Row],[SessionID]])=0,"❌ Missing","✔ OK")</f>
        <v>✔ OK</v>
      </c>
    </row>
    <row r="6" spans="1:12" x14ac:dyDescent="0.3">
      <c r="A6" t="s">
        <v>881</v>
      </c>
      <c r="B6" t="s">
        <v>320</v>
      </c>
      <c r="C6" t="str">
        <f>IF(SessionMovements[[#This Row],[MovementID]]="","",
   _xlfn.XLOOKUP(SessionMovements[[#This Row],[MovementID]],MovementLibrary[MovementID],MovementLibrary[Name],"")
)</f>
        <v>Thruster</v>
      </c>
      <c r="D6" s="5" t="str">
        <f>IF(SessionMovements[[#This Row],[MovementID]]="","",
   _xlfn.XLOOKUP(SessionMovements[[#This Row],[MovementID]], MovementLibrary[MovementID], MovementLibrary[Modality], "")
)</f>
        <v>Barbell</v>
      </c>
      <c r="E6" s="5" t="str">
        <f>IF(SessionMovements[[#This Row],[MovementID]]="","",
   _xlfn.XLOOKUP(SessionMovements[[#This Row],[MovementID]], MovementLibrary[MovementID], MovementLibrary[Unit], "")
)</f>
        <v>kg</v>
      </c>
      <c r="F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" t="s">
        <v>885</v>
      </c>
      <c r="H6">
        <v>6</v>
      </c>
      <c r="K6" t="s">
        <v>886</v>
      </c>
      <c r="L6" s="5" t="str">
        <f>IF(COUNTIF(Sessions[SessionID],SessionMovements[[#This Row],[SessionID]])=0,"❌ Missing","✔ OK")</f>
        <v>✔ OK</v>
      </c>
    </row>
    <row r="7" spans="1:12" x14ac:dyDescent="0.3">
      <c r="A7" t="s">
        <v>887</v>
      </c>
      <c r="B7" t="s">
        <v>409</v>
      </c>
      <c r="C7" t="str">
        <f>IF(SessionMovements[[#This Row],[MovementID]]="","",
   _xlfn.XLOOKUP(SessionMovements[[#This Row],[MovementID]],MovementLibrary[MovementID],MovementLibrary[Name],"")
)</f>
        <v>Freestanding Handstand Hold</v>
      </c>
      <c r="D7" s="5" t="str">
        <f>IF(SessionMovements[[#This Row],[MovementID]]="","",
   _xlfn.XLOOKUP(SessionMovements[[#This Row],[MovementID]], MovementLibrary[MovementID], MovementLibrary[Modality], "")
)</f>
        <v>Gymnastics</v>
      </c>
      <c r="E7" s="5" t="str">
        <f>IF(SessionMovements[[#This Row],[MovementID]]="","",
   _xlfn.XLOOKUP(SessionMovements[[#This Row],[MovementID]], MovementLibrary[MovementID], MovementLibrary[Unit], "")
)</f>
        <v>sec</v>
      </c>
      <c r="F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">
        <v>5</v>
      </c>
      <c r="H7">
        <v>40</v>
      </c>
      <c r="K7" t="s">
        <v>888</v>
      </c>
      <c r="L7" s="5" t="str">
        <f>IF(COUNTIF(Sessions[SessionID],SessionMovements[[#This Row],[SessionID]])=0,"❌ Missing","✔ OK")</f>
        <v>✔ OK</v>
      </c>
    </row>
    <row r="8" spans="1:12" x14ac:dyDescent="0.3">
      <c r="A8" t="s">
        <v>887</v>
      </c>
      <c r="B8" t="s">
        <v>642</v>
      </c>
      <c r="C8" t="str">
        <f>IF(SessionMovements[[#This Row],[MovementID]]="","",
   _xlfn.XLOOKUP(SessionMovements[[#This Row],[MovementID]],MovementLibrary[MovementID],MovementLibrary[Name],"")
)</f>
        <v>Partial ROM Handstand Push-Up</v>
      </c>
      <c r="D8" s="5" t="str">
        <f>IF(SessionMovements[[#This Row],[MovementID]]="","",
   _xlfn.XLOOKUP(SessionMovements[[#This Row],[MovementID]], MovementLibrary[MovementID], MovementLibrary[Modality], "")
)</f>
        <v>Gymnastics</v>
      </c>
      <c r="E8" s="5" t="str">
        <f>IF(SessionMovements[[#This Row],[MovementID]]="","",
   _xlfn.XLOOKUP(SessionMovements[[#This Row],[MovementID]], MovementLibrary[MovementID], MovementLibrary[Unit], "")
)</f>
        <v>reps</v>
      </c>
      <c r="F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">
        <v>4</v>
      </c>
      <c r="H8">
        <v>6</v>
      </c>
      <c r="K8" t="s">
        <v>889</v>
      </c>
      <c r="L8" s="5" t="str">
        <f>IF(COUNTIF(Sessions[SessionID],SessionMovements[[#This Row],[SessionID]])=0,"❌ Missing","✔ OK")</f>
        <v>✔ OK</v>
      </c>
    </row>
    <row r="9" spans="1:12" x14ac:dyDescent="0.3">
      <c r="A9" t="s">
        <v>887</v>
      </c>
      <c r="B9" t="s">
        <v>674</v>
      </c>
      <c r="C9" t="str">
        <f>IF(SessionMovements[[#This Row],[MovementID]]="","",
   _xlfn.XLOOKUP(SessionMovements[[#This Row],[MovementID]],MovementLibrary[MovementID],MovementLibrary[Name],"")
)</f>
        <v>Bottom-Range Handstand Isometric Hold</v>
      </c>
      <c r="D9" s="5" t="str">
        <f>IF(SessionMovements[[#This Row],[MovementID]]="","",
   _xlfn.XLOOKUP(SessionMovements[[#This Row],[MovementID]], MovementLibrary[MovementID], MovementLibrary[Modality], "")
)</f>
        <v>Gymnastics</v>
      </c>
      <c r="E9" s="5" t="str">
        <f>IF(SessionMovements[[#This Row],[MovementID]]="","",
   _xlfn.XLOOKUP(SessionMovements[[#This Row],[MovementID]], MovementLibrary[MovementID], MovementLibrary[Unit], "")
)</f>
        <v>reps</v>
      </c>
      <c r="F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">
        <v>6</v>
      </c>
      <c r="H9">
        <v>2</v>
      </c>
      <c r="K9" t="s">
        <v>890</v>
      </c>
      <c r="L9" s="5" t="str">
        <f>IF(COUNTIF(Sessions[SessionID],SessionMovements[[#This Row],[SessionID]])=0,"❌ Missing","✔ OK")</f>
        <v>✔ OK</v>
      </c>
    </row>
    <row r="10" spans="1:12" x14ac:dyDescent="0.3">
      <c r="A10" t="s">
        <v>887</v>
      </c>
      <c r="B10" t="s">
        <v>530</v>
      </c>
      <c r="C10" t="str">
        <f>IF(SessionMovements[[#This Row],[MovementID]]="","",
   _xlfn.XLOOKUP(SessionMovements[[#This Row],[MovementID]],MovementLibrary[MovementID],MovementLibrary[Name],"")
)</f>
        <v>Hollow Hold</v>
      </c>
      <c r="D10" s="5" t="str">
        <f>IF(SessionMovements[[#This Row],[MovementID]]="","",
   _xlfn.XLOOKUP(SessionMovements[[#This Row],[MovementID]], MovementLibrary[MovementID], MovementLibrary[Modality], "")
)</f>
        <v>Gymnastics</v>
      </c>
      <c r="E10" s="5" t="str">
        <f>IF(SessionMovements[[#This Row],[MovementID]]="","",
   _xlfn.XLOOKUP(SessionMovements[[#This Row],[MovementID]], MovementLibrary[MovementID], MovementLibrary[Unit], "")
)</f>
        <v>sec</v>
      </c>
      <c r="F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">
        <v>3</v>
      </c>
      <c r="H10">
        <v>20</v>
      </c>
      <c r="K10" t="s">
        <v>891</v>
      </c>
      <c r="L10" s="5" t="str">
        <f>IF(COUNTIF(Sessions[SessionID],SessionMovements[[#This Row],[SessionID]])=0,"❌ Missing","✔ OK")</f>
        <v>✔ OK</v>
      </c>
    </row>
    <row r="11" spans="1:12" x14ac:dyDescent="0.3">
      <c r="A11" t="s">
        <v>887</v>
      </c>
      <c r="B11" t="s">
        <v>259</v>
      </c>
      <c r="C11" t="str">
        <f>IF(SessionMovements[[#This Row],[MovementID]]="","",
   _xlfn.XLOOKUP(SessionMovements[[#This Row],[MovementID]],MovementLibrary[MovementID],MovementLibrary[Name],"")
)</f>
        <v>Power Clean</v>
      </c>
      <c r="D11" s="5" t="str">
        <f>IF(SessionMovements[[#This Row],[MovementID]]="","",
   _xlfn.XLOOKUP(SessionMovements[[#This Row],[MovementID]], MovementLibrary[MovementID], MovementLibrary[Modality], "")
)</f>
        <v>Barbell</v>
      </c>
      <c r="E11" s="5" t="str">
        <f>IF(SessionMovements[[#This Row],[MovementID]]="","",
   _xlfn.XLOOKUP(SessionMovements[[#This Row],[MovementID]], MovementLibrary[MovementID], MovementLibrary[Unit], "")
)</f>
        <v>kg</v>
      </c>
      <c r="F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" t="s">
        <v>885</v>
      </c>
      <c r="H11">
        <v>3</v>
      </c>
      <c r="J11">
        <v>65</v>
      </c>
      <c r="K11" t="s">
        <v>892</v>
      </c>
      <c r="L11" s="5" t="str">
        <f>IF(COUNTIF(Sessions[SessionID],SessionMovements[[#This Row],[SessionID]])=0,"❌ Missing","✔ OK")</f>
        <v>✔ OK</v>
      </c>
    </row>
    <row r="12" spans="1:12" x14ac:dyDescent="0.3">
      <c r="A12" t="s">
        <v>893</v>
      </c>
      <c r="B12" t="s">
        <v>409</v>
      </c>
      <c r="C12" t="str">
        <f>IF(SessionMovements[[#This Row],[MovementID]]="","",
   _xlfn.XLOOKUP(SessionMovements[[#This Row],[MovementID]],MovementLibrary[MovementID],MovementLibrary[Name],"")
)</f>
        <v>Freestanding Handstand Hold</v>
      </c>
      <c r="D12" s="5" t="str">
        <f>IF(SessionMovements[[#This Row],[MovementID]]="","",
   _xlfn.XLOOKUP(SessionMovements[[#This Row],[MovementID]], MovementLibrary[MovementID], MovementLibrary[Modality], "")
)</f>
        <v>Gymnastics</v>
      </c>
      <c r="E12" s="5" t="str">
        <f>IF(SessionMovements[[#This Row],[MovementID]]="","",
   _xlfn.XLOOKUP(SessionMovements[[#This Row],[MovementID]], MovementLibrary[MovementID], MovementLibrary[Unit], "")
)</f>
        <v>sec</v>
      </c>
      <c r="F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">
        <v>8</v>
      </c>
      <c r="H12">
        <v>30</v>
      </c>
      <c r="K12" t="s">
        <v>894</v>
      </c>
      <c r="L12" s="5" t="str">
        <f>IF(COUNTIF(Sessions[SessionID],SessionMovements[[#This Row],[SessionID]])=0,"❌ Missing","✔ OK")</f>
        <v>✔ OK</v>
      </c>
    </row>
    <row r="13" spans="1:12" x14ac:dyDescent="0.3">
      <c r="A13" t="s">
        <v>893</v>
      </c>
      <c r="B13" t="s">
        <v>639</v>
      </c>
      <c r="C13" t="str">
        <f>IF(SessionMovements[[#This Row],[MovementID]]="","",
   _xlfn.XLOOKUP(SessionMovements[[#This Row],[MovementID]],MovementLibrary[MovementID],MovementLibrary[Name],"")
)</f>
        <v>Deficit Pike Push-Up</v>
      </c>
      <c r="D13" s="5" t="str">
        <f>IF(SessionMovements[[#This Row],[MovementID]]="","",
   _xlfn.XLOOKUP(SessionMovements[[#This Row],[MovementID]], MovementLibrary[MovementID], MovementLibrary[Modality], "")
)</f>
        <v>Gymnastics</v>
      </c>
      <c r="E13" s="5" t="str">
        <f>IF(SessionMovements[[#This Row],[MovementID]]="","",
   _xlfn.XLOOKUP(SessionMovements[[#This Row],[MovementID]], MovementLibrary[MovementID], MovementLibrary[Unit], "")
)</f>
        <v>reps</v>
      </c>
      <c r="F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">
        <v>3</v>
      </c>
      <c r="H13">
        <v>8</v>
      </c>
      <c r="K13" t="s">
        <v>895</v>
      </c>
      <c r="L13" s="5" t="str">
        <f>IF(COUNTIF(Sessions[SessionID],SessionMovements[[#This Row],[SessionID]])=0,"❌ Missing","✔ OK")</f>
        <v>✔ OK</v>
      </c>
    </row>
    <row r="14" spans="1:12" x14ac:dyDescent="0.3">
      <c r="A14" t="s">
        <v>893</v>
      </c>
      <c r="B14" t="s">
        <v>642</v>
      </c>
      <c r="C14" t="str">
        <f>IF(SessionMovements[[#This Row],[MovementID]]="","",
   _xlfn.XLOOKUP(SessionMovements[[#This Row],[MovementID]],MovementLibrary[MovementID],MovementLibrary[Name],"")
)</f>
        <v>Partial ROM Handstand Push-Up</v>
      </c>
      <c r="D14" s="5" t="str">
        <f>IF(SessionMovements[[#This Row],[MovementID]]="","",
   _xlfn.XLOOKUP(SessionMovements[[#This Row],[MovementID]], MovementLibrary[MovementID], MovementLibrary[Modality], "")
)</f>
        <v>Gymnastics</v>
      </c>
      <c r="E14" s="5" t="str">
        <f>IF(SessionMovements[[#This Row],[MovementID]]="","",
   _xlfn.XLOOKUP(SessionMovements[[#This Row],[MovementID]], MovementLibrary[MovementID], MovementLibrary[Unit], "")
)</f>
        <v>reps</v>
      </c>
      <c r="F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">
        <v>4</v>
      </c>
      <c r="H14">
        <v>4</v>
      </c>
      <c r="K14" t="s">
        <v>896</v>
      </c>
      <c r="L14" s="5" t="str">
        <f>IF(COUNTIF(Sessions[SessionID],SessionMovements[[#This Row],[SessionID]])=0,"❌ Missing","✔ OK")</f>
        <v>✔ OK</v>
      </c>
    </row>
    <row r="15" spans="1:12" x14ac:dyDescent="0.3">
      <c r="A15" t="s">
        <v>893</v>
      </c>
      <c r="B15" t="s">
        <v>648</v>
      </c>
      <c r="C15" t="str">
        <f>IF(SessionMovements[[#This Row],[MovementID]]="","",
   _xlfn.XLOOKUP(SessionMovements[[#This Row],[MovementID]],MovementLibrary[MovementID],MovementLibrary[Name],"")
)</f>
        <v>Scapular Wall Slide</v>
      </c>
      <c r="D15" s="5" t="str">
        <f>IF(SessionMovements[[#This Row],[MovementID]]="","",
   _xlfn.XLOOKUP(SessionMovements[[#This Row],[MovementID]], MovementLibrary[MovementID], MovementLibrary[Modality], "")
)</f>
        <v>Mobility</v>
      </c>
      <c r="E15" s="5" t="str">
        <f>IF(SessionMovements[[#This Row],[MovementID]]="","",
   _xlfn.XLOOKUP(SessionMovements[[#This Row],[MovementID]], MovementLibrary[MovementID], MovementLibrary[Unit], "")
)</f>
        <v>reps</v>
      </c>
      <c r="F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">
        <v>3</v>
      </c>
      <c r="H15">
        <v>15</v>
      </c>
      <c r="K15" t="s">
        <v>897</v>
      </c>
      <c r="L15" s="5" t="str">
        <f>IF(COUNTIF(Sessions[SessionID],SessionMovements[[#This Row],[SessionID]])=0,"❌ Missing","✔ OK")</f>
        <v>✔ OK</v>
      </c>
    </row>
    <row r="16" spans="1:12" x14ac:dyDescent="0.3">
      <c r="A16" t="s">
        <v>898</v>
      </c>
      <c r="B16" t="s">
        <v>636</v>
      </c>
      <c r="C16" t="str">
        <f>IF(SessionMovements[[#This Row],[MovementID]]="","",
   _xlfn.XLOOKUP(SessionMovements[[#This Row],[MovementID]],MovementLibrary[MovementID],MovementLibrary[Name],"")
)</f>
        <v>Handstand Push-Up (Eccentric)</v>
      </c>
      <c r="D16" s="5" t="str">
        <f>IF(SessionMovements[[#This Row],[MovementID]]="","",
   _xlfn.XLOOKUP(SessionMovements[[#This Row],[MovementID]], MovementLibrary[MovementID], MovementLibrary[Modality], "")
)</f>
        <v>Gymnastics</v>
      </c>
      <c r="E16" s="5" t="str">
        <f>IF(SessionMovements[[#This Row],[MovementID]]="","",
   _xlfn.XLOOKUP(SessionMovements[[#This Row],[MovementID]], MovementLibrary[MovementID], MovementLibrary[Unit], "")
)</f>
        <v>reps</v>
      </c>
      <c r="F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">
        <v>4</v>
      </c>
      <c r="H16">
        <v>3</v>
      </c>
      <c r="K16" t="s">
        <v>882</v>
      </c>
      <c r="L16" s="5" t="str">
        <f>IF(COUNTIF(Sessions[SessionID],SessionMovements[[#This Row],[SessionID]])=0,"❌ Missing","✔ OK")</f>
        <v>✔ OK</v>
      </c>
    </row>
    <row r="17" spans="1:12" x14ac:dyDescent="0.3">
      <c r="A17" t="s">
        <v>898</v>
      </c>
      <c r="B17" t="s">
        <v>639</v>
      </c>
      <c r="C17" t="str">
        <f>IF(SessionMovements[[#This Row],[MovementID]]="","",
   _xlfn.XLOOKUP(SessionMovements[[#This Row],[MovementID]],MovementLibrary[MovementID],MovementLibrary[Name],"")
)</f>
        <v>Deficit Pike Push-Up</v>
      </c>
      <c r="D17" s="5" t="str">
        <f>IF(SessionMovements[[#This Row],[MovementID]]="","",
   _xlfn.XLOOKUP(SessionMovements[[#This Row],[MovementID]], MovementLibrary[MovementID], MovementLibrary[Modality], "")
)</f>
        <v>Gymnastics</v>
      </c>
      <c r="E17" s="5" t="str">
        <f>IF(SessionMovements[[#This Row],[MovementID]]="","",
   _xlfn.XLOOKUP(SessionMovements[[#This Row],[MovementID]], MovementLibrary[MovementID], MovementLibrary[Unit], "")
)</f>
        <v>reps</v>
      </c>
      <c r="F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">
        <v>4</v>
      </c>
      <c r="H17">
        <v>8</v>
      </c>
      <c r="K17" t="s">
        <v>883</v>
      </c>
      <c r="L17" s="5" t="str">
        <f>IF(COUNTIF(Sessions[SessionID],SessionMovements[[#This Row],[SessionID]])=0,"❌ Missing","✔ OK")</f>
        <v>✔ OK</v>
      </c>
    </row>
    <row r="18" spans="1:12" x14ac:dyDescent="0.3">
      <c r="A18" t="s">
        <v>898</v>
      </c>
      <c r="B18" t="s">
        <v>262</v>
      </c>
      <c r="C18" t="str">
        <f>IF(SessionMovements[[#This Row],[MovementID]]="","",
   _xlfn.XLOOKUP(SessionMovements[[#This Row],[MovementID]],MovementLibrary[MovementID],MovementLibrary[Name],"")
)</f>
        <v>Strict Press</v>
      </c>
      <c r="D18" s="5" t="str">
        <f>IF(SessionMovements[[#This Row],[MovementID]]="","",
   _xlfn.XLOOKUP(SessionMovements[[#This Row],[MovementID]], MovementLibrary[MovementID], MovementLibrary[Modality], "")
)</f>
        <v>Barbell</v>
      </c>
      <c r="E18" s="5" t="str">
        <f>IF(SessionMovements[[#This Row],[MovementID]]="","",
   _xlfn.XLOOKUP(SessionMovements[[#This Row],[MovementID]], MovementLibrary[MovementID], MovementLibrary[Unit], "")
)</f>
        <v>kg</v>
      </c>
      <c r="F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">
        <v>3</v>
      </c>
      <c r="H18">
        <v>8</v>
      </c>
      <c r="J18">
        <v>65</v>
      </c>
      <c r="K18" t="s">
        <v>884</v>
      </c>
      <c r="L18" s="5" t="str">
        <f>IF(COUNTIF(Sessions[SessionID],SessionMovements[[#This Row],[SessionID]])=0,"❌ Missing","✔ OK")</f>
        <v>✔ OK</v>
      </c>
    </row>
    <row r="19" spans="1:12" x14ac:dyDescent="0.3">
      <c r="A19" t="s">
        <v>898</v>
      </c>
      <c r="B19" t="s">
        <v>437</v>
      </c>
      <c r="C19" t="str">
        <f>IF(SessionMovements[[#This Row],[MovementID]]="","",
   _xlfn.XLOOKUP(SessionMovements[[#This Row],[MovementID]],MovementLibrary[MovementID],MovementLibrary[Name],"")
)</f>
        <v>Plank Hold</v>
      </c>
      <c r="D19" s="5" t="str">
        <f>IF(SessionMovements[[#This Row],[MovementID]]="","",
   _xlfn.XLOOKUP(SessionMovements[[#This Row],[MovementID]], MovementLibrary[MovementID], MovementLibrary[Modality], "")
)</f>
        <v>Gymnastics</v>
      </c>
      <c r="E19" s="5" t="str">
        <f>IF(SessionMovements[[#This Row],[MovementID]]="","",
   _xlfn.XLOOKUP(SessionMovements[[#This Row],[MovementID]], MovementLibrary[MovementID], MovementLibrary[Unit], "")
)</f>
        <v>sec</v>
      </c>
      <c r="F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">
        <v>3</v>
      </c>
      <c r="H19">
        <v>60</v>
      </c>
      <c r="L19" s="5" t="str">
        <f>IF(COUNTIF(Sessions[SessionID],SessionMovements[[#This Row],[SessionID]])=0,"❌ Missing","✔ OK")</f>
        <v>✔ OK</v>
      </c>
    </row>
    <row r="20" spans="1:12" x14ac:dyDescent="0.3">
      <c r="A20" t="s">
        <v>899</v>
      </c>
      <c r="B20" t="s">
        <v>409</v>
      </c>
      <c r="C20" t="str">
        <f>IF(SessionMovements[[#This Row],[MovementID]]="","",
   _xlfn.XLOOKUP(SessionMovements[[#This Row],[MovementID]],MovementLibrary[MovementID],MovementLibrary[Name],"")
)</f>
        <v>Freestanding Handstand Hold</v>
      </c>
      <c r="D20" s="5" t="str">
        <f>IF(SessionMovements[[#This Row],[MovementID]]="","",
   _xlfn.XLOOKUP(SessionMovements[[#This Row],[MovementID]], MovementLibrary[MovementID], MovementLibrary[Modality], "")
)</f>
        <v>Gymnastics</v>
      </c>
      <c r="E20" s="5" t="str">
        <f>IF(SessionMovements[[#This Row],[MovementID]]="","",
   _xlfn.XLOOKUP(SessionMovements[[#This Row],[MovementID]], MovementLibrary[MovementID], MovementLibrary[Unit], "")
)</f>
        <v>sec</v>
      </c>
      <c r="F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">
        <v>5</v>
      </c>
      <c r="H20">
        <v>40</v>
      </c>
      <c r="K20" t="s">
        <v>888</v>
      </c>
      <c r="L20" s="5" t="str">
        <f>IF(COUNTIF(Sessions[SessionID],SessionMovements[[#This Row],[SessionID]])=0,"❌ Missing","✔ OK")</f>
        <v>✔ OK</v>
      </c>
    </row>
    <row r="21" spans="1:12" x14ac:dyDescent="0.3">
      <c r="A21" t="s">
        <v>899</v>
      </c>
      <c r="B21" t="s">
        <v>642</v>
      </c>
      <c r="C21" t="str">
        <f>IF(SessionMovements[[#This Row],[MovementID]]="","",
   _xlfn.XLOOKUP(SessionMovements[[#This Row],[MovementID]],MovementLibrary[MovementID],MovementLibrary[Name],"")
)</f>
        <v>Partial ROM Handstand Push-Up</v>
      </c>
      <c r="D21" s="5" t="str">
        <f>IF(SessionMovements[[#This Row],[MovementID]]="","",
   _xlfn.XLOOKUP(SessionMovements[[#This Row],[MovementID]], MovementLibrary[MovementID], MovementLibrary[Modality], "")
)</f>
        <v>Gymnastics</v>
      </c>
      <c r="E21" s="5" t="str">
        <f>IF(SessionMovements[[#This Row],[MovementID]]="","",
   _xlfn.XLOOKUP(SessionMovements[[#This Row],[MovementID]], MovementLibrary[MovementID], MovementLibrary[Unit], "")
)</f>
        <v>reps</v>
      </c>
      <c r="F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">
        <v>4</v>
      </c>
      <c r="H21">
        <v>6</v>
      </c>
      <c r="K21" t="s">
        <v>889</v>
      </c>
      <c r="L21" s="5" t="str">
        <f>IF(COUNTIF(Sessions[SessionID],SessionMovements[[#This Row],[SessionID]])=0,"❌ Missing","✔ OK")</f>
        <v>✔ OK</v>
      </c>
    </row>
    <row r="22" spans="1:12" x14ac:dyDescent="0.3">
      <c r="A22" t="s">
        <v>899</v>
      </c>
      <c r="B22" t="s">
        <v>674</v>
      </c>
      <c r="C22" t="str">
        <f>IF(SessionMovements[[#This Row],[MovementID]]="","",
   _xlfn.XLOOKUP(SessionMovements[[#This Row],[MovementID]],MovementLibrary[MovementID],MovementLibrary[Name],"")
)</f>
        <v>Bottom-Range Handstand Isometric Hold</v>
      </c>
      <c r="D22" s="5" t="str">
        <f>IF(SessionMovements[[#This Row],[MovementID]]="","",
   _xlfn.XLOOKUP(SessionMovements[[#This Row],[MovementID]], MovementLibrary[MovementID], MovementLibrary[Modality], "")
)</f>
        <v>Gymnastics</v>
      </c>
      <c r="E22" s="5" t="str">
        <f>IF(SessionMovements[[#This Row],[MovementID]]="","",
   _xlfn.XLOOKUP(SessionMovements[[#This Row],[MovementID]], MovementLibrary[MovementID], MovementLibrary[Unit], "")
)</f>
        <v>reps</v>
      </c>
      <c r="F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">
        <v>6</v>
      </c>
      <c r="H22">
        <v>2</v>
      </c>
      <c r="K22" t="s">
        <v>890</v>
      </c>
      <c r="L22" s="5" t="str">
        <f>IF(COUNTIF(Sessions[SessionID],SessionMovements[[#This Row],[SessionID]])=0,"❌ Missing","✔ OK")</f>
        <v>✔ OK</v>
      </c>
    </row>
    <row r="23" spans="1:12" x14ac:dyDescent="0.3">
      <c r="A23" t="s">
        <v>899</v>
      </c>
      <c r="B23" t="s">
        <v>530</v>
      </c>
      <c r="C23" t="str">
        <f>IF(SessionMovements[[#This Row],[MovementID]]="","",
   _xlfn.XLOOKUP(SessionMovements[[#This Row],[MovementID]],MovementLibrary[MovementID],MovementLibrary[Name],"")
)</f>
        <v>Hollow Hold</v>
      </c>
      <c r="D23" s="5" t="str">
        <f>IF(SessionMovements[[#This Row],[MovementID]]="","",
   _xlfn.XLOOKUP(SessionMovements[[#This Row],[MovementID]], MovementLibrary[MovementID], MovementLibrary[Modality], "")
)</f>
        <v>Gymnastics</v>
      </c>
      <c r="E23" s="5" t="str">
        <f>IF(SessionMovements[[#This Row],[MovementID]]="","",
   _xlfn.XLOOKUP(SessionMovements[[#This Row],[MovementID]], MovementLibrary[MovementID], MovementLibrary[Unit], "")
)</f>
        <v>sec</v>
      </c>
      <c r="F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">
        <v>3</v>
      </c>
      <c r="H23">
        <v>20</v>
      </c>
      <c r="K23" t="s">
        <v>891</v>
      </c>
      <c r="L23" s="5" t="str">
        <f>IF(COUNTIF(Sessions[SessionID],SessionMovements[[#This Row],[SessionID]])=0,"❌ Missing","✔ OK")</f>
        <v>✔ OK</v>
      </c>
    </row>
    <row r="24" spans="1:12" x14ac:dyDescent="0.3">
      <c r="A24" t="s">
        <v>899</v>
      </c>
      <c r="B24" t="s">
        <v>320</v>
      </c>
      <c r="C24" t="str">
        <f>IF(SessionMovements[[#This Row],[MovementID]]="","",
   _xlfn.XLOOKUP(SessionMovements[[#This Row],[MovementID]],MovementLibrary[MovementID],MovementLibrary[Name],"")
)</f>
        <v>Thruster</v>
      </c>
      <c r="D24" s="5" t="str">
        <f>IF(SessionMovements[[#This Row],[MovementID]]="","",
   _xlfn.XLOOKUP(SessionMovements[[#This Row],[MovementID]], MovementLibrary[MovementID], MovementLibrary[Modality], "")
)</f>
        <v>Barbell</v>
      </c>
      <c r="E24" s="5" t="str">
        <f>IF(SessionMovements[[#This Row],[MovementID]]="","",
   _xlfn.XLOOKUP(SessionMovements[[#This Row],[MovementID]], MovementLibrary[MovementID], MovementLibrary[Unit], "")
)</f>
        <v>kg</v>
      </c>
      <c r="F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" t="s">
        <v>885</v>
      </c>
      <c r="H24">
        <v>6</v>
      </c>
      <c r="K24" t="s">
        <v>886</v>
      </c>
      <c r="L24" s="5" t="str">
        <f>IF(COUNTIF(Sessions[SessionID],SessionMovements[[#This Row],[SessionID]])=0,"❌ Missing","✔ OK")</f>
        <v>✔ OK</v>
      </c>
    </row>
    <row r="25" spans="1:12" x14ac:dyDescent="0.3">
      <c r="A25" t="s">
        <v>900</v>
      </c>
      <c r="B25" t="s">
        <v>409</v>
      </c>
      <c r="C25" t="str">
        <f>IF(SessionMovements[[#This Row],[MovementID]]="","",
   _xlfn.XLOOKUP(SessionMovements[[#This Row],[MovementID]],MovementLibrary[MovementID],MovementLibrary[Name],"")
)</f>
        <v>Freestanding Handstand Hold</v>
      </c>
      <c r="D25" s="5" t="str">
        <f>IF(SessionMovements[[#This Row],[MovementID]]="","",
   _xlfn.XLOOKUP(SessionMovements[[#This Row],[MovementID]], MovementLibrary[MovementID], MovementLibrary[Modality], "")
)</f>
        <v>Gymnastics</v>
      </c>
      <c r="E25" s="5" t="str">
        <f>IF(SessionMovements[[#This Row],[MovementID]]="","",
   _xlfn.XLOOKUP(SessionMovements[[#This Row],[MovementID]], MovementLibrary[MovementID], MovementLibrary[Unit], "")
)</f>
        <v>sec</v>
      </c>
      <c r="F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">
        <v>8</v>
      </c>
      <c r="H25">
        <v>30</v>
      </c>
      <c r="K25" t="s">
        <v>894</v>
      </c>
      <c r="L25" s="5" t="str">
        <f>IF(COUNTIF(Sessions[SessionID],SessionMovements[[#This Row],[SessionID]])=0,"❌ Missing","✔ OK")</f>
        <v>✔ OK</v>
      </c>
    </row>
    <row r="26" spans="1:12" x14ac:dyDescent="0.3">
      <c r="A26" t="s">
        <v>900</v>
      </c>
      <c r="B26" t="s">
        <v>639</v>
      </c>
      <c r="C26" t="str">
        <f>IF(SessionMovements[[#This Row],[MovementID]]="","",
   _xlfn.XLOOKUP(SessionMovements[[#This Row],[MovementID]],MovementLibrary[MovementID],MovementLibrary[Name],"")
)</f>
        <v>Deficit Pike Push-Up</v>
      </c>
      <c r="D26" s="5" t="str">
        <f>IF(SessionMovements[[#This Row],[MovementID]]="","",
   _xlfn.XLOOKUP(SessionMovements[[#This Row],[MovementID]], MovementLibrary[MovementID], MovementLibrary[Modality], "")
)</f>
        <v>Gymnastics</v>
      </c>
      <c r="E26" s="5" t="str">
        <f>IF(SessionMovements[[#This Row],[MovementID]]="","",
   _xlfn.XLOOKUP(SessionMovements[[#This Row],[MovementID]], MovementLibrary[MovementID], MovementLibrary[Unit], "")
)</f>
        <v>reps</v>
      </c>
      <c r="F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">
        <v>3</v>
      </c>
      <c r="H26">
        <v>8</v>
      </c>
      <c r="K26" t="s">
        <v>895</v>
      </c>
      <c r="L26" s="5" t="str">
        <f>IF(COUNTIF(Sessions[SessionID],SessionMovements[[#This Row],[SessionID]])=0,"❌ Missing","✔ OK")</f>
        <v>✔ OK</v>
      </c>
    </row>
    <row r="27" spans="1:12" x14ac:dyDescent="0.3">
      <c r="A27" t="s">
        <v>900</v>
      </c>
      <c r="B27" t="s">
        <v>642</v>
      </c>
      <c r="C27" t="str">
        <f>IF(SessionMovements[[#This Row],[MovementID]]="","",
   _xlfn.XLOOKUP(SessionMovements[[#This Row],[MovementID]],MovementLibrary[MovementID],MovementLibrary[Name],"")
)</f>
        <v>Partial ROM Handstand Push-Up</v>
      </c>
      <c r="D27" s="5" t="str">
        <f>IF(SessionMovements[[#This Row],[MovementID]]="","",
   _xlfn.XLOOKUP(SessionMovements[[#This Row],[MovementID]], MovementLibrary[MovementID], MovementLibrary[Modality], "")
)</f>
        <v>Gymnastics</v>
      </c>
      <c r="E27" s="5" t="str">
        <f>IF(SessionMovements[[#This Row],[MovementID]]="","",
   _xlfn.XLOOKUP(SessionMovements[[#This Row],[MovementID]], MovementLibrary[MovementID], MovementLibrary[Unit], "")
)</f>
        <v>reps</v>
      </c>
      <c r="F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">
        <v>4</v>
      </c>
      <c r="H27">
        <v>4</v>
      </c>
      <c r="K27" t="s">
        <v>896</v>
      </c>
      <c r="L27" s="5" t="str">
        <f>IF(COUNTIF(Sessions[SessionID],SessionMovements[[#This Row],[SessionID]])=0,"❌ Missing","✔ OK")</f>
        <v>✔ OK</v>
      </c>
    </row>
    <row r="28" spans="1:12" x14ac:dyDescent="0.3">
      <c r="A28" t="s">
        <v>900</v>
      </c>
      <c r="B28" t="s">
        <v>648</v>
      </c>
      <c r="C28" t="str">
        <f>IF(SessionMovements[[#This Row],[MovementID]]="","",
   _xlfn.XLOOKUP(SessionMovements[[#This Row],[MovementID]],MovementLibrary[MovementID],MovementLibrary[Name],"")
)</f>
        <v>Scapular Wall Slide</v>
      </c>
      <c r="D28" s="5" t="str">
        <f>IF(SessionMovements[[#This Row],[MovementID]]="","",
   _xlfn.XLOOKUP(SessionMovements[[#This Row],[MovementID]], MovementLibrary[MovementID], MovementLibrary[Modality], "")
)</f>
        <v>Mobility</v>
      </c>
      <c r="E28" s="5" t="str">
        <f>IF(SessionMovements[[#This Row],[MovementID]]="","",
   _xlfn.XLOOKUP(SessionMovements[[#This Row],[MovementID]], MovementLibrary[MovementID], MovementLibrary[Unit], "")
)</f>
        <v>reps</v>
      </c>
      <c r="F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">
        <v>3</v>
      </c>
      <c r="H28">
        <v>15</v>
      </c>
      <c r="K28" t="s">
        <v>897</v>
      </c>
      <c r="L28" s="5" t="str">
        <f>IF(COUNTIF(Sessions[SessionID],SessionMovements[[#This Row],[SessionID]])=0,"❌ Missing","✔ OK")</f>
        <v>✔ OK</v>
      </c>
    </row>
    <row r="29" spans="1:12" x14ac:dyDescent="0.3">
      <c r="A29" t="s">
        <v>900</v>
      </c>
      <c r="B29" t="s">
        <v>807</v>
      </c>
      <c r="C29" t="str">
        <f>IF(SessionMovements[[#This Row],[MovementID]]="","",
   _xlfn.XLOOKUP(SessionMovements[[#This Row],[MovementID]],MovementLibrary[MovementID],MovementLibrary[Name],"")
)</f>
        <v>Wall Walk</v>
      </c>
      <c r="D29" s="5" t="str">
        <f>IF(SessionMovements[[#This Row],[MovementID]]="","",
   _xlfn.XLOOKUP(SessionMovements[[#This Row],[MovementID]], MovementLibrary[MovementID], MovementLibrary[Modality], "")
)</f>
        <v>Gymnastic</v>
      </c>
      <c r="E29" s="5" t="str">
        <f>IF(SessionMovements[[#This Row],[MovementID]]="","",
   _xlfn.XLOOKUP(SessionMovements[[#This Row],[MovementID]], MovementLibrary[MovementID], MovementLibrary[Unit], "")
)</f>
        <v>reps</v>
      </c>
      <c r="F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" t="s">
        <v>885</v>
      </c>
      <c r="H29">
        <v>2</v>
      </c>
      <c r="K29" t="s">
        <v>892</v>
      </c>
      <c r="L29" s="5" t="str">
        <f>IF(COUNTIF(Sessions[SessionID],SessionMovements[[#This Row],[SessionID]])=0,"❌ Missing","✔ OK")</f>
        <v>✔ OK</v>
      </c>
    </row>
    <row r="30" spans="1:12" x14ac:dyDescent="0.3">
      <c r="A30" t="s">
        <v>901</v>
      </c>
      <c r="B30" t="s">
        <v>636</v>
      </c>
      <c r="C30" t="str">
        <f>IF(SessionMovements[[#This Row],[MovementID]]="","",
   _xlfn.XLOOKUP(SessionMovements[[#This Row],[MovementID]],MovementLibrary[MovementID],MovementLibrary[Name],"")
)</f>
        <v>Handstand Push-Up (Eccentric)</v>
      </c>
      <c r="D30" s="5" t="str">
        <f>IF(SessionMovements[[#This Row],[MovementID]]="","",
   _xlfn.XLOOKUP(SessionMovements[[#This Row],[MovementID]], MovementLibrary[MovementID], MovementLibrary[Modality], "")
)</f>
        <v>Gymnastics</v>
      </c>
      <c r="E30" s="5" t="str">
        <f>IF(SessionMovements[[#This Row],[MovementID]]="","",
   _xlfn.XLOOKUP(SessionMovements[[#This Row],[MovementID]], MovementLibrary[MovementID], MovementLibrary[Unit], "")
)</f>
        <v>reps</v>
      </c>
      <c r="F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">
        <v>4</v>
      </c>
      <c r="H30">
        <v>2</v>
      </c>
      <c r="K30" t="s">
        <v>902</v>
      </c>
      <c r="L30" s="5" t="str">
        <f>IF(COUNTIF(Sessions[SessionID],SessionMovements[[#This Row],[SessionID]])=0,"❌ Missing","✔ OK")</f>
        <v>✔ OK</v>
      </c>
    </row>
    <row r="31" spans="1:12" x14ac:dyDescent="0.3">
      <c r="A31" t="s">
        <v>901</v>
      </c>
      <c r="B31" t="s">
        <v>639</v>
      </c>
      <c r="C31" t="str">
        <f>IF(SessionMovements[[#This Row],[MovementID]]="","",
   _xlfn.XLOOKUP(SessionMovements[[#This Row],[MovementID]],MovementLibrary[MovementID],MovementLibrary[Name],"")
)</f>
        <v>Deficit Pike Push-Up</v>
      </c>
      <c r="D31" s="5" t="str">
        <f>IF(SessionMovements[[#This Row],[MovementID]]="","",
   _xlfn.XLOOKUP(SessionMovements[[#This Row],[MovementID]], MovementLibrary[MovementID], MovementLibrary[Modality], "")
)</f>
        <v>Gymnastics</v>
      </c>
      <c r="E31" s="5" t="str">
        <f>IF(SessionMovements[[#This Row],[MovementID]]="","",
   _xlfn.XLOOKUP(SessionMovements[[#This Row],[MovementID]], MovementLibrary[MovementID], MovementLibrary[Unit], "")
)</f>
        <v>reps</v>
      </c>
      <c r="F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">
        <v>4</v>
      </c>
      <c r="H31">
        <v>8</v>
      </c>
      <c r="K31" t="s">
        <v>903</v>
      </c>
      <c r="L31" s="5" t="str">
        <f>IF(COUNTIF(Sessions[SessionID],SessionMovements[[#This Row],[SessionID]])=0,"❌ Missing","✔ OK")</f>
        <v>✔ OK</v>
      </c>
    </row>
    <row r="32" spans="1:12" x14ac:dyDescent="0.3">
      <c r="A32" t="s">
        <v>901</v>
      </c>
      <c r="B32" t="s">
        <v>262</v>
      </c>
      <c r="C32" t="str">
        <f>IF(SessionMovements[[#This Row],[MovementID]]="","",
   _xlfn.XLOOKUP(SessionMovements[[#This Row],[MovementID]],MovementLibrary[MovementID],MovementLibrary[Name],"")
)</f>
        <v>Strict Press</v>
      </c>
      <c r="D32" s="5" t="str">
        <f>IF(SessionMovements[[#This Row],[MovementID]]="","",
   _xlfn.XLOOKUP(SessionMovements[[#This Row],[MovementID]], MovementLibrary[MovementID], MovementLibrary[Modality], "")
)</f>
        <v>Barbell</v>
      </c>
      <c r="E32" s="5" t="str">
        <f>IF(SessionMovements[[#This Row],[MovementID]]="","",
   _xlfn.XLOOKUP(SessionMovements[[#This Row],[MovementID]], MovementLibrary[MovementID], MovementLibrary[Unit], "")
)</f>
        <v>kg</v>
      </c>
      <c r="F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">
        <v>4</v>
      </c>
      <c r="H32">
        <v>6</v>
      </c>
      <c r="J32">
        <v>65</v>
      </c>
      <c r="K32" t="s">
        <v>884</v>
      </c>
      <c r="L32" s="5" t="str">
        <f>IF(COUNTIF(Sessions[SessionID],SessionMovements[[#This Row],[SessionID]])=0,"❌ Missing","✔ OK")</f>
        <v>✔ OK</v>
      </c>
    </row>
    <row r="33" spans="1:12" x14ac:dyDescent="0.3">
      <c r="A33" t="s">
        <v>901</v>
      </c>
      <c r="B33" t="s">
        <v>437</v>
      </c>
      <c r="C33" t="str">
        <f>IF(SessionMovements[[#This Row],[MovementID]]="","",
   _xlfn.XLOOKUP(SessionMovements[[#This Row],[MovementID]],MovementLibrary[MovementID],MovementLibrary[Name],"")
)</f>
        <v>Plank Hold</v>
      </c>
      <c r="D33" s="5" t="str">
        <f>IF(SessionMovements[[#This Row],[MovementID]]="","",
   _xlfn.XLOOKUP(SessionMovements[[#This Row],[MovementID]], MovementLibrary[MovementID], MovementLibrary[Modality], "")
)</f>
        <v>Gymnastics</v>
      </c>
      <c r="E33" s="5" t="str">
        <f>IF(SessionMovements[[#This Row],[MovementID]]="","",
   _xlfn.XLOOKUP(SessionMovements[[#This Row],[MovementID]], MovementLibrary[MovementID], MovementLibrary[Unit], "")
)</f>
        <v>sec</v>
      </c>
      <c r="F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">
        <v>3</v>
      </c>
      <c r="H33">
        <v>60</v>
      </c>
      <c r="L33" s="5" t="str">
        <f>IF(COUNTIF(Sessions[SessionID],SessionMovements[[#This Row],[SessionID]])=0,"❌ Missing","✔ OK")</f>
        <v>✔ OK</v>
      </c>
    </row>
    <row r="34" spans="1:12" x14ac:dyDescent="0.3">
      <c r="A34" t="s">
        <v>901</v>
      </c>
      <c r="B34" t="s">
        <v>320</v>
      </c>
      <c r="C34" t="str">
        <f>IF(SessionMovements[[#This Row],[MovementID]]="","",
   _xlfn.XLOOKUP(SessionMovements[[#This Row],[MovementID]],MovementLibrary[MovementID],MovementLibrary[Name],"")
)</f>
        <v>Thruster</v>
      </c>
      <c r="D34" s="5" t="str">
        <f>IF(SessionMovements[[#This Row],[MovementID]]="","",
   _xlfn.XLOOKUP(SessionMovements[[#This Row],[MovementID]], MovementLibrary[MovementID], MovementLibrary[Modality], "")
)</f>
        <v>Barbell</v>
      </c>
      <c r="E34" s="5" t="str">
        <f>IF(SessionMovements[[#This Row],[MovementID]]="","",
   _xlfn.XLOOKUP(SessionMovements[[#This Row],[MovementID]], MovementLibrary[MovementID], MovementLibrary[Unit], "")
)</f>
        <v>kg</v>
      </c>
      <c r="F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" t="s">
        <v>885</v>
      </c>
      <c r="H34">
        <v>6</v>
      </c>
      <c r="K34" t="s">
        <v>886</v>
      </c>
      <c r="L34" s="5" t="str">
        <f>IF(COUNTIF(Sessions[SessionID],SessionMovements[[#This Row],[SessionID]])=0,"❌ Missing","✔ OK")</f>
        <v>✔ OK</v>
      </c>
    </row>
    <row r="35" spans="1:12" x14ac:dyDescent="0.3">
      <c r="A35" t="s">
        <v>904</v>
      </c>
      <c r="B35" t="s">
        <v>409</v>
      </c>
      <c r="C35" t="str">
        <f>IF(SessionMovements[[#This Row],[MovementID]]="","",
   _xlfn.XLOOKUP(SessionMovements[[#This Row],[MovementID]],MovementLibrary[MovementID],MovementLibrary[Name],"")
)</f>
        <v>Freestanding Handstand Hold</v>
      </c>
      <c r="D35" s="5" t="str">
        <f>IF(SessionMovements[[#This Row],[MovementID]]="","",
   _xlfn.XLOOKUP(SessionMovements[[#This Row],[MovementID]], MovementLibrary[MovementID], MovementLibrary[Modality], "")
)</f>
        <v>Gymnastics</v>
      </c>
      <c r="E35" s="5" t="str">
        <f>IF(SessionMovements[[#This Row],[MovementID]]="","",
   _xlfn.XLOOKUP(SessionMovements[[#This Row],[MovementID]], MovementLibrary[MovementID], MovementLibrary[Unit], "")
)</f>
        <v>sec</v>
      </c>
      <c r="F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">
        <v>5</v>
      </c>
      <c r="H35">
        <v>40</v>
      </c>
      <c r="L35" s="5" t="str">
        <f>IF(COUNTIF(Sessions[SessionID],SessionMovements[[#This Row],[SessionID]])=0,"❌ Missing","✔ OK")</f>
        <v>✔ OK</v>
      </c>
    </row>
    <row r="36" spans="1:12" x14ac:dyDescent="0.3">
      <c r="A36" t="s">
        <v>904</v>
      </c>
      <c r="B36" t="s">
        <v>642</v>
      </c>
      <c r="C36" t="str">
        <f>IF(SessionMovements[[#This Row],[MovementID]]="","",
   _xlfn.XLOOKUP(SessionMovements[[#This Row],[MovementID]],MovementLibrary[MovementID],MovementLibrary[Name],"")
)</f>
        <v>Partial ROM Handstand Push-Up</v>
      </c>
      <c r="D36" s="5" t="str">
        <f>IF(SessionMovements[[#This Row],[MovementID]]="","",
   _xlfn.XLOOKUP(SessionMovements[[#This Row],[MovementID]], MovementLibrary[MovementID], MovementLibrary[Modality], "")
)</f>
        <v>Gymnastics</v>
      </c>
      <c r="E36" s="5" t="str">
        <f>IF(SessionMovements[[#This Row],[MovementID]]="","",
   _xlfn.XLOOKUP(SessionMovements[[#This Row],[MovementID]], MovementLibrary[MovementID], MovementLibrary[Unit], "")
)</f>
        <v>reps</v>
      </c>
      <c r="F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">
        <v>4</v>
      </c>
      <c r="H36">
        <v>6</v>
      </c>
      <c r="K36" t="s">
        <v>905</v>
      </c>
      <c r="L36" s="5" t="str">
        <f>IF(COUNTIF(Sessions[SessionID],SessionMovements[[#This Row],[SessionID]])=0,"❌ Missing","✔ OK")</f>
        <v>✔ OK</v>
      </c>
    </row>
    <row r="37" spans="1:12" x14ac:dyDescent="0.3">
      <c r="A37" t="s">
        <v>904</v>
      </c>
      <c r="B37" t="s">
        <v>636</v>
      </c>
      <c r="C37" t="str">
        <f>IF(SessionMovements[[#This Row],[MovementID]]="","",
   _xlfn.XLOOKUP(SessionMovements[[#This Row],[MovementID]],MovementLibrary[MovementID],MovementLibrary[Name],"")
)</f>
        <v>Handstand Push-Up (Eccentric)</v>
      </c>
      <c r="D37" s="5" t="str">
        <f>IF(SessionMovements[[#This Row],[MovementID]]="","",
   _xlfn.XLOOKUP(SessionMovements[[#This Row],[MovementID]], MovementLibrary[MovementID], MovementLibrary[Modality], "")
)</f>
        <v>Gymnastics</v>
      </c>
      <c r="E37" s="5" t="str">
        <f>IF(SessionMovements[[#This Row],[MovementID]]="","",
   _xlfn.XLOOKUP(SessionMovements[[#This Row],[MovementID]], MovementLibrary[MovementID], MovementLibrary[Unit], "")
)</f>
        <v>reps</v>
      </c>
      <c r="F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">
        <v>6</v>
      </c>
      <c r="H37">
        <v>2</v>
      </c>
      <c r="K37" t="s">
        <v>906</v>
      </c>
      <c r="L37" s="5" t="str">
        <f>IF(COUNTIF(Sessions[SessionID],SessionMovements[[#This Row],[SessionID]])=0,"❌ Missing","✔ OK")</f>
        <v>✔ OK</v>
      </c>
    </row>
    <row r="38" spans="1:12" x14ac:dyDescent="0.3">
      <c r="A38" t="s">
        <v>904</v>
      </c>
      <c r="B38" t="s">
        <v>530</v>
      </c>
      <c r="C38" t="str">
        <f>IF(SessionMovements[[#This Row],[MovementID]]="","",
   _xlfn.XLOOKUP(SessionMovements[[#This Row],[MovementID]],MovementLibrary[MovementID],MovementLibrary[Name],"")
)</f>
        <v>Hollow Hold</v>
      </c>
      <c r="D38" s="5" t="str">
        <f>IF(SessionMovements[[#This Row],[MovementID]]="","",
   _xlfn.XLOOKUP(SessionMovements[[#This Row],[MovementID]], MovementLibrary[MovementID], MovementLibrary[Modality], "")
)</f>
        <v>Gymnastics</v>
      </c>
      <c r="E38" s="5" t="str">
        <f>IF(SessionMovements[[#This Row],[MovementID]]="","",
   _xlfn.XLOOKUP(SessionMovements[[#This Row],[MovementID]], MovementLibrary[MovementID], MovementLibrary[Unit], "")
)</f>
        <v>sec</v>
      </c>
      <c r="F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">
        <v>3</v>
      </c>
      <c r="H38">
        <v>20</v>
      </c>
      <c r="L38" s="5" t="str">
        <f>IF(COUNTIF(Sessions[SessionID],SessionMovements[[#This Row],[SessionID]])=0,"❌ Missing","✔ OK")</f>
        <v>✔ OK</v>
      </c>
    </row>
    <row r="39" spans="1:12" x14ac:dyDescent="0.3">
      <c r="A39" t="s">
        <v>904</v>
      </c>
      <c r="B39" t="s">
        <v>259</v>
      </c>
      <c r="C39" t="str">
        <f>IF(SessionMovements[[#This Row],[MovementID]]="","",
   _xlfn.XLOOKUP(SessionMovements[[#This Row],[MovementID]],MovementLibrary[MovementID],MovementLibrary[Name],"")
)</f>
        <v>Power Clean</v>
      </c>
      <c r="D39" s="5" t="str">
        <f>IF(SessionMovements[[#This Row],[MovementID]]="","",
   _xlfn.XLOOKUP(SessionMovements[[#This Row],[MovementID]], MovementLibrary[MovementID], MovementLibrary[Modality], "")
)</f>
        <v>Barbell</v>
      </c>
      <c r="E39" s="5" t="str">
        <f>IF(SessionMovements[[#This Row],[MovementID]]="","",
   _xlfn.XLOOKUP(SessionMovements[[#This Row],[MovementID]], MovementLibrary[MovementID], MovementLibrary[Unit], "")
)</f>
        <v>kg</v>
      </c>
      <c r="F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" t="s">
        <v>885</v>
      </c>
      <c r="H39">
        <v>3</v>
      </c>
      <c r="J39">
        <v>70</v>
      </c>
      <c r="K39" t="s">
        <v>892</v>
      </c>
      <c r="L39" s="5" t="str">
        <f>IF(COUNTIF(Sessions[SessionID],SessionMovements[[#This Row],[SessionID]])=0,"❌ Missing","✔ OK")</f>
        <v>✔ OK</v>
      </c>
    </row>
    <row r="40" spans="1:12" x14ac:dyDescent="0.3">
      <c r="A40" t="s">
        <v>907</v>
      </c>
      <c r="B40" t="s">
        <v>409</v>
      </c>
      <c r="C40" t="str">
        <f>IF(SessionMovements[[#This Row],[MovementID]]="","",
   _xlfn.XLOOKUP(SessionMovements[[#This Row],[MovementID]],MovementLibrary[MovementID],MovementLibrary[Name],"")
)</f>
        <v>Freestanding Handstand Hold</v>
      </c>
      <c r="D40" s="5" t="str">
        <f>IF(SessionMovements[[#This Row],[MovementID]]="","",
   _xlfn.XLOOKUP(SessionMovements[[#This Row],[MovementID]], MovementLibrary[MovementID], MovementLibrary[Modality], "")
)</f>
        <v>Gymnastics</v>
      </c>
      <c r="E40" s="5" t="str">
        <f>IF(SessionMovements[[#This Row],[MovementID]]="","",
   _xlfn.XLOOKUP(SessionMovements[[#This Row],[MovementID]], MovementLibrary[MovementID], MovementLibrary[Unit], "")
)</f>
        <v>sec</v>
      </c>
      <c r="F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">
        <v>8</v>
      </c>
      <c r="H40">
        <v>30</v>
      </c>
      <c r="K40" t="s">
        <v>894</v>
      </c>
      <c r="L40" s="5" t="str">
        <f>IF(COUNTIF(Sessions[SessionID],SessionMovements[[#This Row],[SessionID]])=0,"❌ Missing","✔ OK")</f>
        <v>✔ OK</v>
      </c>
    </row>
    <row r="41" spans="1:12" x14ac:dyDescent="0.3">
      <c r="A41" t="s">
        <v>907</v>
      </c>
      <c r="B41" t="s">
        <v>639</v>
      </c>
      <c r="C41" t="str">
        <f>IF(SessionMovements[[#This Row],[MovementID]]="","",
   _xlfn.XLOOKUP(SessionMovements[[#This Row],[MovementID]],MovementLibrary[MovementID],MovementLibrary[Name],"")
)</f>
        <v>Deficit Pike Push-Up</v>
      </c>
      <c r="D41" s="5" t="str">
        <f>IF(SessionMovements[[#This Row],[MovementID]]="","",
   _xlfn.XLOOKUP(SessionMovements[[#This Row],[MovementID]], MovementLibrary[MovementID], MovementLibrary[Modality], "")
)</f>
        <v>Gymnastics</v>
      </c>
      <c r="E41" s="5" t="str">
        <f>IF(SessionMovements[[#This Row],[MovementID]]="","",
   _xlfn.XLOOKUP(SessionMovements[[#This Row],[MovementID]], MovementLibrary[MovementID], MovementLibrary[Unit], "")
)</f>
        <v>reps</v>
      </c>
      <c r="F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">
        <v>3</v>
      </c>
      <c r="H41">
        <v>8</v>
      </c>
      <c r="K41" t="s">
        <v>895</v>
      </c>
      <c r="L41" s="5" t="str">
        <f>IF(COUNTIF(Sessions[SessionID],SessionMovements[[#This Row],[SessionID]])=0,"❌ Missing","✔ OK")</f>
        <v>✔ OK</v>
      </c>
    </row>
    <row r="42" spans="1:12" x14ac:dyDescent="0.3">
      <c r="A42" t="s">
        <v>907</v>
      </c>
      <c r="B42" t="s">
        <v>642</v>
      </c>
      <c r="C42" t="str">
        <f>IF(SessionMovements[[#This Row],[MovementID]]="","",
   _xlfn.XLOOKUP(SessionMovements[[#This Row],[MovementID]],MovementLibrary[MovementID],MovementLibrary[Name],"")
)</f>
        <v>Partial ROM Handstand Push-Up</v>
      </c>
      <c r="D42" s="5" t="str">
        <f>IF(SessionMovements[[#This Row],[MovementID]]="","",
   _xlfn.XLOOKUP(SessionMovements[[#This Row],[MovementID]], MovementLibrary[MovementID], MovementLibrary[Modality], "")
)</f>
        <v>Gymnastics</v>
      </c>
      <c r="E42" s="5" t="str">
        <f>IF(SessionMovements[[#This Row],[MovementID]]="","",
   _xlfn.XLOOKUP(SessionMovements[[#This Row],[MovementID]], MovementLibrary[MovementID], MovementLibrary[Unit], "")
)</f>
        <v>reps</v>
      </c>
      <c r="F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">
        <v>4</v>
      </c>
      <c r="H42">
        <v>4</v>
      </c>
      <c r="K42" t="s">
        <v>896</v>
      </c>
      <c r="L42" s="5" t="str">
        <f>IF(COUNTIF(Sessions[SessionID],SessionMovements[[#This Row],[SessionID]])=0,"❌ Missing","✔ OK")</f>
        <v>✔ OK</v>
      </c>
    </row>
    <row r="43" spans="1:12" x14ac:dyDescent="0.3">
      <c r="A43" t="s">
        <v>907</v>
      </c>
      <c r="B43" t="s">
        <v>648</v>
      </c>
      <c r="C43" t="str">
        <f>IF(SessionMovements[[#This Row],[MovementID]]="","",
   _xlfn.XLOOKUP(SessionMovements[[#This Row],[MovementID]],MovementLibrary[MovementID],MovementLibrary[Name],"")
)</f>
        <v>Scapular Wall Slide</v>
      </c>
      <c r="D43" s="5" t="str">
        <f>IF(SessionMovements[[#This Row],[MovementID]]="","",
   _xlfn.XLOOKUP(SessionMovements[[#This Row],[MovementID]], MovementLibrary[MovementID], MovementLibrary[Modality], "")
)</f>
        <v>Mobility</v>
      </c>
      <c r="E43" s="5" t="str">
        <f>IF(SessionMovements[[#This Row],[MovementID]]="","",
   _xlfn.XLOOKUP(SessionMovements[[#This Row],[MovementID]], MovementLibrary[MovementID], MovementLibrary[Unit], "")
)</f>
        <v>reps</v>
      </c>
      <c r="F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">
        <v>3</v>
      </c>
      <c r="H43">
        <v>15</v>
      </c>
      <c r="K43" t="s">
        <v>897</v>
      </c>
      <c r="L43" s="5" t="str">
        <f>IF(COUNTIF(Sessions[SessionID],SessionMovements[[#This Row],[SessionID]])=0,"❌ Missing","✔ OK")</f>
        <v>✔ OK</v>
      </c>
    </row>
    <row r="44" spans="1:12" x14ac:dyDescent="0.3">
      <c r="A44" t="s">
        <v>908</v>
      </c>
      <c r="B44" t="s">
        <v>636</v>
      </c>
      <c r="C44" t="str">
        <f>IF(SessionMovements[[#This Row],[MovementID]]="","",
   _xlfn.XLOOKUP(SessionMovements[[#This Row],[MovementID]],MovementLibrary[MovementID],MovementLibrary[Name],"")
)</f>
        <v>Handstand Push-Up (Eccentric)</v>
      </c>
      <c r="D44" s="5" t="str">
        <f>IF(SessionMovements[[#This Row],[MovementID]]="","",
   _xlfn.XLOOKUP(SessionMovements[[#This Row],[MovementID]], MovementLibrary[MovementID], MovementLibrary[Modality], "")
)</f>
        <v>Gymnastics</v>
      </c>
      <c r="E44" s="5" t="str">
        <f>IF(SessionMovements[[#This Row],[MovementID]]="","",
   _xlfn.XLOOKUP(SessionMovements[[#This Row],[MovementID]], MovementLibrary[MovementID], MovementLibrary[Unit], "")
)</f>
        <v>reps</v>
      </c>
      <c r="F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">
        <v>4</v>
      </c>
      <c r="H44">
        <v>2</v>
      </c>
      <c r="K44" t="s">
        <v>902</v>
      </c>
      <c r="L44" s="5" t="str">
        <f>IF(COUNTIF(Sessions[SessionID],SessionMovements[[#This Row],[SessionID]])=0,"❌ Missing","✔ OK")</f>
        <v>✔ OK</v>
      </c>
    </row>
    <row r="45" spans="1:12" x14ac:dyDescent="0.3">
      <c r="A45" t="s">
        <v>908</v>
      </c>
      <c r="B45" t="s">
        <v>639</v>
      </c>
      <c r="C45" t="str">
        <f>IF(SessionMovements[[#This Row],[MovementID]]="","",
   _xlfn.XLOOKUP(SessionMovements[[#This Row],[MovementID]],MovementLibrary[MovementID],MovementLibrary[Name],"")
)</f>
        <v>Deficit Pike Push-Up</v>
      </c>
      <c r="D45" s="5" t="str">
        <f>IF(SessionMovements[[#This Row],[MovementID]]="","",
   _xlfn.XLOOKUP(SessionMovements[[#This Row],[MovementID]], MovementLibrary[MovementID], MovementLibrary[Modality], "")
)</f>
        <v>Gymnastics</v>
      </c>
      <c r="E45" s="5" t="str">
        <f>IF(SessionMovements[[#This Row],[MovementID]]="","",
   _xlfn.XLOOKUP(SessionMovements[[#This Row],[MovementID]], MovementLibrary[MovementID], MovementLibrary[Unit], "")
)</f>
        <v>reps</v>
      </c>
      <c r="F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">
        <v>4</v>
      </c>
      <c r="H45">
        <v>8</v>
      </c>
      <c r="K45" t="s">
        <v>903</v>
      </c>
      <c r="L45" s="5" t="str">
        <f>IF(COUNTIF(Sessions[SessionID],SessionMovements[[#This Row],[SessionID]])=0,"❌ Missing","✔ OK")</f>
        <v>✔ OK</v>
      </c>
    </row>
    <row r="46" spans="1:12" x14ac:dyDescent="0.3">
      <c r="A46" t="s">
        <v>908</v>
      </c>
      <c r="B46" t="s">
        <v>262</v>
      </c>
      <c r="C46" t="str">
        <f>IF(SessionMovements[[#This Row],[MovementID]]="","",
   _xlfn.XLOOKUP(SessionMovements[[#This Row],[MovementID]],MovementLibrary[MovementID],MovementLibrary[Name],"")
)</f>
        <v>Strict Press</v>
      </c>
      <c r="D46" s="5" t="str">
        <f>IF(SessionMovements[[#This Row],[MovementID]]="","",
   _xlfn.XLOOKUP(SessionMovements[[#This Row],[MovementID]], MovementLibrary[MovementID], MovementLibrary[Modality], "")
)</f>
        <v>Barbell</v>
      </c>
      <c r="E46" s="5" t="str">
        <f>IF(SessionMovements[[#This Row],[MovementID]]="","",
   _xlfn.XLOOKUP(SessionMovements[[#This Row],[MovementID]], MovementLibrary[MovementID], MovementLibrary[Unit], "")
)</f>
        <v>kg</v>
      </c>
      <c r="F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">
        <v>4</v>
      </c>
      <c r="H46">
        <v>6</v>
      </c>
      <c r="J46">
        <v>75</v>
      </c>
      <c r="K46" t="s">
        <v>884</v>
      </c>
      <c r="L46" s="5" t="str">
        <f>IF(COUNTIF(Sessions[SessionID],SessionMovements[[#This Row],[SessionID]])=0,"❌ Missing","✔ OK")</f>
        <v>✔ OK</v>
      </c>
    </row>
    <row r="47" spans="1:12" x14ac:dyDescent="0.3">
      <c r="A47" t="s">
        <v>908</v>
      </c>
      <c r="B47" t="s">
        <v>437</v>
      </c>
      <c r="C47" t="str">
        <f>IF(SessionMovements[[#This Row],[MovementID]]="","",
   _xlfn.XLOOKUP(SessionMovements[[#This Row],[MovementID]],MovementLibrary[MovementID],MovementLibrary[Name],"")
)</f>
        <v>Plank Hold</v>
      </c>
      <c r="D47" s="5" t="str">
        <f>IF(SessionMovements[[#This Row],[MovementID]]="","",
   _xlfn.XLOOKUP(SessionMovements[[#This Row],[MovementID]], MovementLibrary[MovementID], MovementLibrary[Modality], "")
)</f>
        <v>Gymnastics</v>
      </c>
      <c r="E47" s="5" t="str">
        <f>IF(SessionMovements[[#This Row],[MovementID]]="","",
   _xlfn.XLOOKUP(SessionMovements[[#This Row],[MovementID]], MovementLibrary[MovementID], MovementLibrary[Unit], "")
)</f>
        <v>sec</v>
      </c>
      <c r="F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">
        <v>3</v>
      </c>
      <c r="H47">
        <v>60</v>
      </c>
      <c r="L47" s="5" t="str">
        <f>IF(COUNTIF(Sessions[SessionID],SessionMovements[[#This Row],[SessionID]])=0,"❌ Missing","✔ OK")</f>
        <v>✔ OK</v>
      </c>
    </row>
    <row r="48" spans="1:12" x14ac:dyDescent="0.3">
      <c r="A48" t="s">
        <v>909</v>
      </c>
      <c r="B48" t="s">
        <v>409</v>
      </c>
      <c r="C48" t="str">
        <f>IF(SessionMovements[[#This Row],[MovementID]]="","",
   _xlfn.XLOOKUP(SessionMovements[[#This Row],[MovementID]],MovementLibrary[MovementID],MovementLibrary[Name],"")
)</f>
        <v>Freestanding Handstand Hold</v>
      </c>
      <c r="D48" s="5" t="str">
        <f>IF(SessionMovements[[#This Row],[MovementID]]="","",
   _xlfn.XLOOKUP(SessionMovements[[#This Row],[MovementID]], MovementLibrary[MovementID], MovementLibrary[Modality], "")
)</f>
        <v>Gymnastics</v>
      </c>
      <c r="E48" s="5" t="str">
        <f>IF(SessionMovements[[#This Row],[MovementID]]="","",
   _xlfn.XLOOKUP(SessionMovements[[#This Row],[MovementID]], MovementLibrary[MovementID], MovementLibrary[Unit], "")
)</f>
        <v>sec</v>
      </c>
      <c r="F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">
        <v>5</v>
      </c>
      <c r="H48">
        <v>40</v>
      </c>
      <c r="L48" s="5" t="str">
        <f>IF(COUNTIF(Sessions[SessionID],SessionMovements[[#This Row],[SessionID]])=0,"❌ Missing","✔ OK")</f>
        <v>✔ OK</v>
      </c>
    </row>
    <row r="49" spans="1:12" x14ac:dyDescent="0.3">
      <c r="A49" t="s">
        <v>909</v>
      </c>
      <c r="B49" t="s">
        <v>642</v>
      </c>
      <c r="C49" t="str">
        <f>IF(SessionMovements[[#This Row],[MovementID]]="","",
   _xlfn.XLOOKUP(SessionMovements[[#This Row],[MovementID]],MovementLibrary[MovementID],MovementLibrary[Name],"")
)</f>
        <v>Partial ROM Handstand Push-Up</v>
      </c>
      <c r="D49" s="5" t="str">
        <f>IF(SessionMovements[[#This Row],[MovementID]]="","",
   _xlfn.XLOOKUP(SessionMovements[[#This Row],[MovementID]], MovementLibrary[MovementID], MovementLibrary[Modality], "")
)</f>
        <v>Gymnastics</v>
      </c>
      <c r="E49" s="5" t="str">
        <f>IF(SessionMovements[[#This Row],[MovementID]]="","",
   _xlfn.XLOOKUP(SessionMovements[[#This Row],[MovementID]], MovementLibrary[MovementID], MovementLibrary[Unit], "")
)</f>
        <v>reps</v>
      </c>
      <c r="F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">
        <v>4</v>
      </c>
      <c r="H49">
        <v>6</v>
      </c>
      <c r="K49" t="s">
        <v>905</v>
      </c>
      <c r="L49" s="5" t="str">
        <f>IF(COUNTIF(Sessions[SessionID],SessionMovements[[#This Row],[SessionID]])=0,"❌ Missing","✔ OK")</f>
        <v>✔ OK</v>
      </c>
    </row>
    <row r="50" spans="1:12" x14ac:dyDescent="0.3">
      <c r="A50" t="s">
        <v>909</v>
      </c>
      <c r="B50" t="s">
        <v>636</v>
      </c>
      <c r="C50" t="str">
        <f>IF(SessionMovements[[#This Row],[MovementID]]="","",
   _xlfn.XLOOKUP(SessionMovements[[#This Row],[MovementID]],MovementLibrary[MovementID],MovementLibrary[Name],"")
)</f>
        <v>Handstand Push-Up (Eccentric)</v>
      </c>
      <c r="D50" s="5" t="str">
        <f>IF(SessionMovements[[#This Row],[MovementID]]="","",
   _xlfn.XLOOKUP(SessionMovements[[#This Row],[MovementID]], MovementLibrary[MovementID], MovementLibrary[Modality], "")
)</f>
        <v>Gymnastics</v>
      </c>
      <c r="E50" s="5" t="str">
        <f>IF(SessionMovements[[#This Row],[MovementID]]="","",
   _xlfn.XLOOKUP(SessionMovements[[#This Row],[MovementID]], MovementLibrary[MovementID], MovementLibrary[Unit], "")
)</f>
        <v>reps</v>
      </c>
      <c r="F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">
        <v>6</v>
      </c>
      <c r="H50">
        <v>2</v>
      </c>
      <c r="K50" t="s">
        <v>906</v>
      </c>
      <c r="L50" s="5" t="str">
        <f>IF(COUNTIF(Sessions[SessionID],SessionMovements[[#This Row],[SessionID]])=0,"❌ Missing","✔ OK")</f>
        <v>✔ OK</v>
      </c>
    </row>
    <row r="51" spans="1:12" x14ac:dyDescent="0.3">
      <c r="A51" t="s">
        <v>909</v>
      </c>
      <c r="B51" t="s">
        <v>530</v>
      </c>
      <c r="C51" t="str">
        <f>IF(SessionMovements[[#This Row],[MovementID]]="","",
   _xlfn.XLOOKUP(SessionMovements[[#This Row],[MovementID]],MovementLibrary[MovementID],MovementLibrary[Name],"")
)</f>
        <v>Hollow Hold</v>
      </c>
      <c r="D51" s="5" t="str">
        <f>IF(SessionMovements[[#This Row],[MovementID]]="","",
   _xlfn.XLOOKUP(SessionMovements[[#This Row],[MovementID]], MovementLibrary[MovementID], MovementLibrary[Modality], "")
)</f>
        <v>Gymnastics</v>
      </c>
      <c r="E51" s="5" t="str">
        <f>IF(SessionMovements[[#This Row],[MovementID]]="","",
   _xlfn.XLOOKUP(SessionMovements[[#This Row],[MovementID]], MovementLibrary[MovementID], MovementLibrary[Unit], "")
)</f>
        <v>sec</v>
      </c>
      <c r="F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">
        <v>3</v>
      </c>
      <c r="H51">
        <v>20</v>
      </c>
      <c r="L51" s="5" t="str">
        <f>IF(COUNTIF(Sessions[SessionID],SessionMovements[[#This Row],[SessionID]])=0,"❌ Missing","✔ OK")</f>
        <v>✔ OK</v>
      </c>
    </row>
    <row r="52" spans="1:12" x14ac:dyDescent="0.3">
      <c r="A52" t="s">
        <v>909</v>
      </c>
      <c r="B52" t="s">
        <v>1472</v>
      </c>
      <c r="C52" t="str">
        <f>IF(SessionMovements[[#This Row],[MovementID]]="","",
   _xlfn.XLOOKUP(SessionMovements[[#This Row],[MovementID]],MovementLibrary[MovementID],MovementLibrary[Name],"")
)</f>
        <v>DU and Burpees</v>
      </c>
      <c r="D52" s="5" t="str">
        <f>IF(SessionMovements[[#This Row],[MovementID]]="","",
   _xlfn.XLOOKUP(SessionMovements[[#This Row],[MovementID]], MovementLibrary[MovementID], MovementLibrary[Modality], "")
)</f>
        <v>Open Prep</v>
      </c>
      <c r="E52" s="5" t="str">
        <f>IF(SessionMovements[[#This Row],[MovementID]]="","",
   _xlfn.XLOOKUP(SessionMovements[[#This Row],[MovementID]], MovementLibrary[MovementID], MovementLibrary[Unit], "")
)</f>
        <v>sec</v>
      </c>
      <c r="F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" t="s">
        <v>885</v>
      </c>
      <c r="H52" t="s">
        <v>1477</v>
      </c>
      <c r="K52" t="s">
        <v>886</v>
      </c>
      <c r="L52" s="5" t="str">
        <f>IF(COUNTIF(Sessions[SessionID],SessionMovements[[#This Row],[SessionID]])=0,"❌ Missing","✔ OK")</f>
        <v>✔ OK</v>
      </c>
    </row>
    <row r="53" spans="1:12" x14ac:dyDescent="0.3">
      <c r="A53" t="s">
        <v>910</v>
      </c>
      <c r="B53" t="s">
        <v>409</v>
      </c>
      <c r="C53" t="str">
        <f>IF(SessionMovements[[#This Row],[MovementID]]="","",
   _xlfn.XLOOKUP(SessionMovements[[#This Row],[MovementID]],MovementLibrary[MovementID],MovementLibrary[Name],"")
)</f>
        <v>Freestanding Handstand Hold</v>
      </c>
      <c r="D53" s="5" t="str">
        <f>IF(SessionMovements[[#This Row],[MovementID]]="","",
   _xlfn.XLOOKUP(SessionMovements[[#This Row],[MovementID]], MovementLibrary[MovementID], MovementLibrary[Modality], "")
)</f>
        <v>Gymnastics</v>
      </c>
      <c r="E53" s="5" t="str">
        <f>IF(SessionMovements[[#This Row],[MovementID]]="","",
   _xlfn.XLOOKUP(SessionMovements[[#This Row],[MovementID]], MovementLibrary[MovementID], MovementLibrary[Unit], "")
)</f>
        <v>sec</v>
      </c>
      <c r="F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">
        <v>8</v>
      </c>
      <c r="H53">
        <v>30</v>
      </c>
      <c r="K53" t="s">
        <v>894</v>
      </c>
      <c r="L53" s="5" t="str">
        <f>IF(COUNTIF(Sessions[SessionID],SessionMovements[[#This Row],[SessionID]])=0,"❌ Missing","✔ OK")</f>
        <v>✔ OK</v>
      </c>
    </row>
    <row r="54" spans="1:12" x14ac:dyDescent="0.3">
      <c r="A54" t="s">
        <v>910</v>
      </c>
      <c r="B54" t="s">
        <v>639</v>
      </c>
      <c r="C54" t="str">
        <f>IF(SessionMovements[[#This Row],[MovementID]]="","",
   _xlfn.XLOOKUP(SessionMovements[[#This Row],[MovementID]],MovementLibrary[MovementID],MovementLibrary[Name],"")
)</f>
        <v>Deficit Pike Push-Up</v>
      </c>
      <c r="D54" s="5" t="str">
        <f>IF(SessionMovements[[#This Row],[MovementID]]="","",
   _xlfn.XLOOKUP(SessionMovements[[#This Row],[MovementID]], MovementLibrary[MovementID], MovementLibrary[Modality], "")
)</f>
        <v>Gymnastics</v>
      </c>
      <c r="E54" s="5" t="str">
        <f>IF(SessionMovements[[#This Row],[MovementID]]="","",
   _xlfn.XLOOKUP(SessionMovements[[#This Row],[MovementID]], MovementLibrary[MovementID], MovementLibrary[Unit], "")
)</f>
        <v>reps</v>
      </c>
      <c r="F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">
        <v>3</v>
      </c>
      <c r="H54">
        <v>8</v>
      </c>
      <c r="K54" t="s">
        <v>895</v>
      </c>
      <c r="L54" s="5" t="str">
        <f>IF(COUNTIF(Sessions[SessionID],SessionMovements[[#This Row],[SessionID]])=0,"❌ Missing","✔ OK")</f>
        <v>✔ OK</v>
      </c>
    </row>
    <row r="55" spans="1:12" x14ac:dyDescent="0.3">
      <c r="A55" t="s">
        <v>910</v>
      </c>
      <c r="B55" t="s">
        <v>642</v>
      </c>
      <c r="C55" t="str">
        <f>IF(SessionMovements[[#This Row],[MovementID]]="","",
   _xlfn.XLOOKUP(SessionMovements[[#This Row],[MovementID]],MovementLibrary[MovementID],MovementLibrary[Name],"")
)</f>
        <v>Partial ROM Handstand Push-Up</v>
      </c>
      <c r="D55" s="5" t="str">
        <f>IF(SessionMovements[[#This Row],[MovementID]]="","",
   _xlfn.XLOOKUP(SessionMovements[[#This Row],[MovementID]], MovementLibrary[MovementID], MovementLibrary[Modality], "")
)</f>
        <v>Gymnastics</v>
      </c>
      <c r="E55" s="5" t="str">
        <f>IF(SessionMovements[[#This Row],[MovementID]]="","",
   _xlfn.XLOOKUP(SessionMovements[[#This Row],[MovementID]], MovementLibrary[MovementID], MovementLibrary[Unit], "")
)</f>
        <v>reps</v>
      </c>
      <c r="F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">
        <v>4</v>
      </c>
      <c r="H55">
        <v>4</v>
      </c>
      <c r="K55" t="s">
        <v>896</v>
      </c>
      <c r="L55" s="5" t="str">
        <f>IF(COUNTIF(Sessions[SessionID],SessionMovements[[#This Row],[SessionID]])=0,"❌ Missing","✔ OK")</f>
        <v>✔ OK</v>
      </c>
    </row>
    <row r="56" spans="1:12" x14ac:dyDescent="0.3">
      <c r="A56" t="s">
        <v>910</v>
      </c>
      <c r="B56" t="s">
        <v>648</v>
      </c>
      <c r="C56" t="str">
        <f>IF(SessionMovements[[#This Row],[MovementID]]="","",
   _xlfn.XLOOKUP(SessionMovements[[#This Row],[MovementID]],MovementLibrary[MovementID],MovementLibrary[Name],"")
)</f>
        <v>Scapular Wall Slide</v>
      </c>
      <c r="D56" s="5" t="str">
        <f>IF(SessionMovements[[#This Row],[MovementID]]="","",
   _xlfn.XLOOKUP(SessionMovements[[#This Row],[MovementID]], MovementLibrary[MovementID], MovementLibrary[Modality], "")
)</f>
        <v>Mobility</v>
      </c>
      <c r="E56" s="5" t="str">
        <f>IF(SessionMovements[[#This Row],[MovementID]]="","",
   _xlfn.XLOOKUP(SessionMovements[[#This Row],[MovementID]], MovementLibrary[MovementID], MovementLibrary[Unit], "")
)</f>
        <v>reps</v>
      </c>
      <c r="F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">
        <v>3</v>
      </c>
      <c r="H56">
        <v>15</v>
      </c>
      <c r="K56" t="s">
        <v>897</v>
      </c>
      <c r="L56" s="5" t="str">
        <f>IF(COUNTIF(Sessions[SessionID],SessionMovements[[#This Row],[SessionID]])=0,"❌ Missing","✔ OK")</f>
        <v>✔ OK</v>
      </c>
    </row>
    <row r="57" spans="1:12" x14ac:dyDescent="0.3">
      <c r="A57" t="s">
        <v>910</v>
      </c>
      <c r="B57" t="s">
        <v>807</v>
      </c>
      <c r="C57" t="str">
        <f>IF(SessionMovements[[#This Row],[MovementID]]="","",
   _xlfn.XLOOKUP(SessionMovements[[#This Row],[MovementID]],MovementLibrary[MovementID],MovementLibrary[Name],"")
)</f>
        <v>Wall Walk</v>
      </c>
      <c r="D57" s="5" t="str">
        <f>IF(SessionMovements[[#This Row],[MovementID]]="","",
   _xlfn.XLOOKUP(SessionMovements[[#This Row],[MovementID]], MovementLibrary[MovementID], MovementLibrary[Modality], "")
)</f>
        <v>Gymnastic</v>
      </c>
      <c r="E57" s="5" t="str">
        <f>IF(SessionMovements[[#This Row],[MovementID]]="","",
   _xlfn.XLOOKUP(SessionMovements[[#This Row],[MovementID]], MovementLibrary[MovementID], MovementLibrary[Unit], "")
)</f>
        <v>reps</v>
      </c>
      <c r="F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" t="s">
        <v>885</v>
      </c>
      <c r="H57">
        <v>2</v>
      </c>
      <c r="K57" t="s">
        <v>892</v>
      </c>
      <c r="L57" s="5" t="str">
        <f>IF(COUNTIF(Sessions[SessionID],SessionMovements[[#This Row],[SessionID]])=0,"❌ Missing","✔ OK")</f>
        <v>✔ OK</v>
      </c>
    </row>
    <row r="58" spans="1:12" x14ac:dyDescent="0.3">
      <c r="A58" t="s">
        <v>911</v>
      </c>
      <c r="B58" t="s">
        <v>636</v>
      </c>
      <c r="C58" t="str">
        <f>IF(SessionMovements[[#This Row],[MovementID]]="","",
   _xlfn.XLOOKUP(SessionMovements[[#This Row],[MovementID]],MovementLibrary[MovementID],MovementLibrary[Name],"")
)</f>
        <v>Handstand Push-Up (Eccentric)</v>
      </c>
      <c r="D58" s="5" t="str">
        <f>IF(SessionMovements[[#This Row],[MovementID]]="","",
   _xlfn.XLOOKUP(SessionMovements[[#This Row],[MovementID]], MovementLibrary[MovementID], MovementLibrary[Modality], "")
)</f>
        <v>Gymnastics</v>
      </c>
      <c r="E58" s="5" t="str">
        <f>IF(SessionMovements[[#This Row],[MovementID]]="","",
   _xlfn.XLOOKUP(SessionMovements[[#This Row],[MovementID]], MovementLibrary[MovementID], MovementLibrary[Unit], "")
)</f>
        <v>reps</v>
      </c>
      <c r="F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">
        <v>4</v>
      </c>
      <c r="H58">
        <v>3</v>
      </c>
      <c r="K58" t="s">
        <v>912</v>
      </c>
      <c r="L58" s="5" t="str">
        <f>IF(COUNTIF(Sessions[SessionID],SessionMovements[[#This Row],[SessionID]])=0,"❌ Missing","✔ OK")</f>
        <v>✔ OK</v>
      </c>
    </row>
    <row r="59" spans="1:12" x14ac:dyDescent="0.3">
      <c r="A59" t="s">
        <v>911</v>
      </c>
      <c r="B59" t="s">
        <v>639</v>
      </c>
      <c r="C59" t="str">
        <f>IF(SessionMovements[[#This Row],[MovementID]]="","",
   _xlfn.XLOOKUP(SessionMovements[[#This Row],[MovementID]],MovementLibrary[MovementID],MovementLibrary[Name],"")
)</f>
        <v>Deficit Pike Push-Up</v>
      </c>
      <c r="D59" s="5" t="str">
        <f>IF(SessionMovements[[#This Row],[MovementID]]="","",
   _xlfn.XLOOKUP(SessionMovements[[#This Row],[MovementID]], MovementLibrary[MovementID], MovementLibrary[Modality], "")
)</f>
        <v>Gymnastics</v>
      </c>
      <c r="E59" s="5" t="str">
        <f>IF(SessionMovements[[#This Row],[MovementID]]="","",
   _xlfn.XLOOKUP(SessionMovements[[#This Row],[MovementID]], MovementLibrary[MovementID], MovementLibrary[Unit], "")
)</f>
        <v>reps</v>
      </c>
      <c r="F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">
        <v>4</v>
      </c>
      <c r="H59">
        <v>8</v>
      </c>
      <c r="L59" s="5" t="str">
        <f>IF(COUNTIF(Sessions[SessionID],SessionMovements[[#This Row],[SessionID]])=0,"❌ Missing","✔ OK")</f>
        <v>✔ OK</v>
      </c>
    </row>
    <row r="60" spans="1:12" x14ac:dyDescent="0.3">
      <c r="A60" t="s">
        <v>911</v>
      </c>
      <c r="B60" t="s">
        <v>262</v>
      </c>
      <c r="C60" t="str">
        <f>IF(SessionMovements[[#This Row],[MovementID]]="","",
   _xlfn.XLOOKUP(SessionMovements[[#This Row],[MovementID]],MovementLibrary[MovementID],MovementLibrary[Name],"")
)</f>
        <v>Strict Press</v>
      </c>
      <c r="D60" s="5" t="str">
        <f>IF(SessionMovements[[#This Row],[MovementID]]="","",
   _xlfn.XLOOKUP(SessionMovements[[#This Row],[MovementID]], MovementLibrary[MovementID], MovementLibrary[Modality], "")
)</f>
        <v>Barbell</v>
      </c>
      <c r="E60" s="5" t="str">
        <f>IF(SessionMovements[[#This Row],[MovementID]]="","",
   _xlfn.XLOOKUP(SessionMovements[[#This Row],[MovementID]], MovementLibrary[MovementID], MovementLibrary[Unit], "")
)</f>
        <v>kg</v>
      </c>
      <c r="F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">
        <v>3</v>
      </c>
      <c r="H60">
        <v>5</v>
      </c>
      <c r="J60">
        <v>75</v>
      </c>
      <c r="K60" t="s">
        <v>884</v>
      </c>
      <c r="L60" s="5" t="str">
        <f>IF(COUNTIF(Sessions[SessionID],SessionMovements[[#This Row],[SessionID]])=0,"❌ Missing","✔ OK")</f>
        <v>✔ OK</v>
      </c>
    </row>
    <row r="61" spans="1:12" x14ac:dyDescent="0.3">
      <c r="A61" t="s">
        <v>911</v>
      </c>
      <c r="B61" t="s">
        <v>437</v>
      </c>
      <c r="C61" t="str">
        <f>IF(SessionMovements[[#This Row],[MovementID]]="","",
   _xlfn.XLOOKUP(SessionMovements[[#This Row],[MovementID]],MovementLibrary[MovementID],MovementLibrary[Name],"")
)</f>
        <v>Plank Hold</v>
      </c>
      <c r="D61" s="5" t="str">
        <f>IF(SessionMovements[[#This Row],[MovementID]]="","",
   _xlfn.XLOOKUP(SessionMovements[[#This Row],[MovementID]], MovementLibrary[MovementID], MovementLibrary[Modality], "")
)</f>
        <v>Gymnastics</v>
      </c>
      <c r="E61" s="5" t="str">
        <f>IF(SessionMovements[[#This Row],[MovementID]]="","",
   _xlfn.XLOOKUP(SessionMovements[[#This Row],[MovementID]], MovementLibrary[MovementID], MovementLibrary[Unit], "")
)</f>
        <v>sec</v>
      </c>
      <c r="F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">
        <v>3</v>
      </c>
      <c r="H61">
        <v>60</v>
      </c>
      <c r="L61" s="5" t="str">
        <f>IF(COUNTIF(Sessions[SessionID],SessionMovements[[#This Row],[SessionID]])=0,"❌ Missing","✔ OK")</f>
        <v>✔ OK</v>
      </c>
    </row>
    <row r="62" spans="1:12" x14ac:dyDescent="0.3">
      <c r="A62" t="s">
        <v>911</v>
      </c>
      <c r="B62" t="s">
        <v>1472</v>
      </c>
      <c r="C62" t="str">
        <f>IF(SessionMovements[[#This Row],[MovementID]]="","",
   _xlfn.XLOOKUP(SessionMovements[[#This Row],[MovementID]],MovementLibrary[MovementID],MovementLibrary[Name],"")
)</f>
        <v>DU and Burpees</v>
      </c>
      <c r="D62" s="5" t="str">
        <f>IF(SessionMovements[[#This Row],[MovementID]]="","",
   _xlfn.XLOOKUP(SessionMovements[[#This Row],[MovementID]], MovementLibrary[MovementID], MovementLibrary[Modality], "")
)</f>
        <v>Open Prep</v>
      </c>
      <c r="E62" s="5" t="str">
        <f>IF(SessionMovements[[#This Row],[MovementID]]="","",
   _xlfn.XLOOKUP(SessionMovements[[#This Row],[MovementID]], MovementLibrary[MovementID], MovementLibrary[Unit], "")
)</f>
        <v>sec</v>
      </c>
      <c r="F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" t="s">
        <v>885</v>
      </c>
      <c r="H62" t="s">
        <v>1477</v>
      </c>
      <c r="K62" t="s">
        <v>886</v>
      </c>
      <c r="L62" s="5" t="str">
        <f>IF(COUNTIF(Sessions[SessionID],SessionMovements[[#This Row],[SessionID]])=0,"❌ Missing","✔ OK")</f>
        <v>✔ OK</v>
      </c>
    </row>
    <row r="63" spans="1:12" x14ac:dyDescent="0.3">
      <c r="A63" t="s">
        <v>913</v>
      </c>
      <c r="B63" t="s">
        <v>409</v>
      </c>
      <c r="C63" t="str">
        <f>IF(SessionMovements[[#This Row],[MovementID]]="","",
   _xlfn.XLOOKUP(SessionMovements[[#This Row],[MovementID]],MovementLibrary[MovementID],MovementLibrary[Name],"")
)</f>
        <v>Freestanding Handstand Hold</v>
      </c>
      <c r="D63" s="5" t="str">
        <f>IF(SessionMovements[[#This Row],[MovementID]]="","",
   _xlfn.XLOOKUP(SessionMovements[[#This Row],[MovementID]], MovementLibrary[MovementID], MovementLibrary[Modality], "")
)</f>
        <v>Gymnastics</v>
      </c>
      <c r="E63" s="5" t="str">
        <f>IF(SessionMovements[[#This Row],[MovementID]]="","",
   _xlfn.XLOOKUP(SessionMovements[[#This Row],[MovementID]], MovementLibrary[MovementID], MovementLibrary[Unit], "")
)</f>
        <v>sec</v>
      </c>
      <c r="F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">
        <v>5</v>
      </c>
      <c r="H63">
        <v>40</v>
      </c>
      <c r="L63" s="5" t="str">
        <f>IF(COUNTIF(Sessions[SessionID],SessionMovements[[#This Row],[SessionID]])=0,"❌ Missing","✔ OK")</f>
        <v>✔ OK</v>
      </c>
    </row>
    <row r="64" spans="1:12" x14ac:dyDescent="0.3">
      <c r="A64" t="s">
        <v>913</v>
      </c>
      <c r="B64" t="s">
        <v>642</v>
      </c>
      <c r="C64" t="str">
        <f>IF(SessionMovements[[#This Row],[MovementID]]="","",
   _xlfn.XLOOKUP(SessionMovements[[#This Row],[MovementID]],MovementLibrary[MovementID],MovementLibrary[Name],"")
)</f>
        <v>Partial ROM Handstand Push-Up</v>
      </c>
      <c r="D64" s="5" t="str">
        <f>IF(SessionMovements[[#This Row],[MovementID]]="","",
   _xlfn.XLOOKUP(SessionMovements[[#This Row],[MovementID]], MovementLibrary[MovementID], MovementLibrary[Modality], "")
)</f>
        <v>Gymnastics</v>
      </c>
      <c r="E64" s="5" t="str">
        <f>IF(SessionMovements[[#This Row],[MovementID]]="","",
   _xlfn.XLOOKUP(SessionMovements[[#This Row],[MovementID]], MovementLibrary[MovementID], MovementLibrary[Unit], "")
)</f>
        <v>reps</v>
      </c>
      <c r="F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">
        <v>4</v>
      </c>
      <c r="H64">
        <v>6</v>
      </c>
      <c r="K64" t="s">
        <v>914</v>
      </c>
      <c r="L64" s="5" t="str">
        <f>IF(COUNTIF(Sessions[SessionID],SessionMovements[[#This Row],[SessionID]])=0,"❌ Missing","✔ OK")</f>
        <v>✔ OK</v>
      </c>
    </row>
    <row r="65" spans="1:12" x14ac:dyDescent="0.3">
      <c r="A65" t="s">
        <v>913</v>
      </c>
      <c r="B65" t="s">
        <v>642</v>
      </c>
      <c r="C65" t="str">
        <f>IF(SessionMovements[[#This Row],[MovementID]]="","",
   _xlfn.XLOOKUP(SessionMovements[[#This Row],[MovementID]],MovementLibrary[MovementID],MovementLibrary[Name],"")
)</f>
        <v>Partial ROM Handstand Push-Up</v>
      </c>
      <c r="D65" s="5" t="str">
        <f>IF(SessionMovements[[#This Row],[MovementID]]="","",
   _xlfn.XLOOKUP(SessionMovements[[#This Row],[MovementID]], MovementLibrary[MovementID], MovementLibrary[Modality], "")
)</f>
        <v>Gymnastics</v>
      </c>
      <c r="E65" s="5" t="str">
        <f>IF(SessionMovements[[#This Row],[MovementID]]="","",
   _xlfn.XLOOKUP(SessionMovements[[#This Row],[MovementID]], MovementLibrary[MovementID], MovementLibrary[Unit], "")
)</f>
        <v>reps</v>
      </c>
      <c r="F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">
        <v>6</v>
      </c>
      <c r="H65">
        <v>2</v>
      </c>
      <c r="K65" t="s">
        <v>915</v>
      </c>
      <c r="L65" s="5" t="str">
        <f>IF(COUNTIF(Sessions[SessionID],SessionMovements[[#This Row],[SessionID]])=0,"❌ Missing","✔ OK")</f>
        <v>✔ OK</v>
      </c>
    </row>
    <row r="66" spans="1:12" x14ac:dyDescent="0.3">
      <c r="A66" t="s">
        <v>913</v>
      </c>
      <c r="B66" t="s">
        <v>530</v>
      </c>
      <c r="C66" t="str">
        <f>IF(SessionMovements[[#This Row],[MovementID]]="","",
   _xlfn.XLOOKUP(SessionMovements[[#This Row],[MovementID]],MovementLibrary[MovementID],MovementLibrary[Name],"")
)</f>
        <v>Hollow Hold</v>
      </c>
      <c r="D66" s="5" t="str">
        <f>IF(SessionMovements[[#This Row],[MovementID]]="","",
   _xlfn.XLOOKUP(SessionMovements[[#This Row],[MovementID]], MovementLibrary[MovementID], MovementLibrary[Modality], "")
)</f>
        <v>Gymnastics</v>
      </c>
      <c r="E66" s="5" t="str">
        <f>IF(SessionMovements[[#This Row],[MovementID]]="","",
   _xlfn.XLOOKUP(SessionMovements[[#This Row],[MovementID]], MovementLibrary[MovementID], MovementLibrary[Unit], "")
)</f>
        <v>sec</v>
      </c>
      <c r="F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">
        <v>3</v>
      </c>
      <c r="H66">
        <v>20</v>
      </c>
      <c r="L66" s="5" t="str">
        <f>IF(COUNTIF(Sessions[SessionID],SessionMovements[[#This Row],[SessionID]])=0,"❌ Missing","✔ OK")</f>
        <v>✔ OK</v>
      </c>
    </row>
    <row r="67" spans="1:12" x14ac:dyDescent="0.3">
      <c r="A67" t="s">
        <v>913</v>
      </c>
      <c r="B67" t="s">
        <v>259</v>
      </c>
      <c r="C67" t="str">
        <f>IF(SessionMovements[[#This Row],[MovementID]]="","",
   _xlfn.XLOOKUP(SessionMovements[[#This Row],[MovementID]],MovementLibrary[MovementID],MovementLibrary[Name],"")
)</f>
        <v>Power Clean</v>
      </c>
      <c r="D67" s="5" t="str">
        <f>IF(SessionMovements[[#This Row],[MovementID]]="","",
   _xlfn.XLOOKUP(SessionMovements[[#This Row],[MovementID]], MovementLibrary[MovementID], MovementLibrary[Modality], "")
)</f>
        <v>Barbell</v>
      </c>
      <c r="E67" s="5" t="str">
        <f>IF(SessionMovements[[#This Row],[MovementID]]="","",
   _xlfn.XLOOKUP(SessionMovements[[#This Row],[MovementID]], MovementLibrary[MovementID], MovementLibrary[Unit], "")
)</f>
        <v>kg</v>
      </c>
      <c r="F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" t="s">
        <v>885</v>
      </c>
      <c r="H67">
        <v>3</v>
      </c>
      <c r="J67">
        <v>75</v>
      </c>
      <c r="K67" t="s">
        <v>892</v>
      </c>
      <c r="L67" s="5" t="str">
        <f>IF(COUNTIF(Sessions[SessionID],SessionMovements[[#This Row],[SessionID]])=0,"❌ Missing","✔ OK")</f>
        <v>✔ OK</v>
      </c>
    </row>
    <row r="68" spans="1:12" x14ac:dyDescent="0.3">
      <c r="A68" t="s">
        <v>916</v>
      </c>
      <c r="B68" t="s">
        <v>409</v>
      </c>
      <c r="C68" t="str">
        <f>IF(SessionMovements[[#This Row],[MovementID]]="","",
   _xlfn.XLOOKUP(SessionMovements[[#This Row],[MovementID]],MovementLibrary[MovementID],MovementLibrary[Name],"")
)</f>
        <v>Freestanding Handstand Hold</v>
      </c>
      <c r="D68" s="5" t="str">
        <f>IF(SessionMovements[[#This Row],[MovementID]]="","",
   _xlfn.XLOOKUP(SessionMovements[[#This Row],[MovementID]], MovementLibrary[MovementID], MovementLibrary[Modality], "")
)</f>
        <v>Gymnastics</v>
      </c>
      <c r="E68" s="5" t="str">
        <f>IF(SessionMovements[[#This Row],[MovementID]]="","",
   _xlfn.XLOOKUP(SessionMovements[[#This Row],[MovementID]], MovementLibrary[MovementID], MovementLibrary[Unit], "")
)</f>
        <v>sec</v>
      </c>
      <c r="F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">
        <v>8</v>
      </c>
      <c r="H68">
        <v>30</v>
      </c>
      <c r="K68" t="s">
        <v>894</v>
      </c>
      <c r="L68" s="5" t="str">
        <f>IF(COUNTIF(Sessions[SessionID],SessionMovements[[#This Row],[SessionID]])=0,"❌ Missing","✔ OK")</f>
        <v>✔ OK</v>
      </c>
    </row>
    <row r="69" spans="1:12" x14ac:dyDescent="0.3">
      <c r="A69" t="s">
        <v>916</v>
      </c>
      <c r="B69" t="s">
        <v>639</v>
      </c>
      <c r="C69" t="str">
        <f>IF(SessionMovements[[#This Row],[MovementID]]="","",
   _xlfn.XLOOKUP(SessionMovements[[#This Row],[MovementID]],MovementLibrary[MovementID],MovementLibrary[Name],"")
)</f>
        <v>Deficit Pike Push-Up</v>
      </c>
      <c r="D69" s="5" t="str">
        <f>IF(SessionMovements[[#This Row],[MovementID]]="","",
   _xlfn.XLOOKUP(SessionMovements[[#This Row],[MovementID]], MovementLibrary[MovementID], MovementLibrary[Modality], "")
)</f>
        <v>Gymnastics</v>
      </c>
      <c r="E69" s="5" t="str">
        <f>IF(SessionMovements[[#This Row],[MovementID]]="","",
   _xlfn.XLOOKUP(SessionMovements[[#This Row],[MovementID]], MovementLibrary[MovementID], MovementLibrary[Unit], "")
)</f>
        <v>reps</v>
      </c>
      <c r="F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">
        <v>3</v>
      </c>
      <c r="H69">
        <v>8</v>
      </c>
      <c r="K69" t="s">
        <v>895</v>
      </c>
      <c r="L69" s="5" t="str">
        <f>IF(COUNTIF(Sessions[SessionID],SessionMovements[[#This Row],[SessionID]])=0,"❌ Missing","✔ OK")</f>
        <v>✔ OK</v>
      </c>
    </row>
    <row r="70" spans="1:12" x14ac:dyDescent="0.3">
      <c r="A70" t="s">
        <v>916</v>
      </c>
      <c r="B70" t="s">
        <v>642</v>
      </c>
      <c r="C70" t="str">
        <f>IF(SessionMovements[[#This Row],[MovementID]]="","",
   _xlfn.XLOOKUP(SessionMovements[[#This Row],[MovementID]],MovementLibrary[MovementID],MovementLibrary[Name],"")
)</f>
        <v>Partial ROM Handstand Push-Up</v>
      </c>
      <c r="D70" s="5" t="str">
        <f>IF(SessionMovements[[#This Row],[MovementID]]="","",
   _xlfn.XLOOKUP(SessionMovements[[#This Row],[MovementID]], MovementLibrary[MovementID], MovementLibrary[Modality], "")
)</f>
        <v>Gymnastics</v>
      </c>
      <c r="E70" s="5" t="str">
        <f>IF(SessionMovements[[#This Row],[MovementID]]="","",
   _xlfn.XLOOKUP(SessionMovements[[#This Row],[MovementID]], MovementLibrary[MovementID], MovementLibrary[Unit], "")
)</f>
        <v>reps</v>
      </c>
      <c r="F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">
        <v>4</v>
      </c>
      <c r="H70">
        <v>4</v>
      </c>
      <c r="K70" t="s">
        <v>896</v>
      </c>
      <c r="L70" s="5" t="str">
        <f>IF(COUNTIF(Sessions[SessionID],SessionMovements[[#This Row],[SessionID]])=0,"❌ Missing","✔ OK")</f>
        <v>✔ OK</v>
      </c>
    </row>
    <row r="71" spans="1:12" x14ac:dyDescent="0.3">
      <c r="A71" t="s">
        <v>916</v>
      </c>
      <c r="B71" t="s">
        <v>648</v>
      </c>
      <c r="C71" t="str">
        <f>IF(SessionMovements[[#This Row],[MovementID]]="","",
   _xlfn.XLOOKUP(SessionMovements[[#This Row],[MovementID]],MovementLibrary[MovementID],MovementLibrary[Name],"")
)</f>
        <v>Scapular Wall Slide</v>
      </c>
      <c r="D71" s="5" t="str">
        <f>IF(SessionMovements[[#This Row],[MovementID]]="","",
   _xlfn.XLOOKUP(SessionMovements[[#This Row],[MovementID]], MovementLibrary[MovementID], MovementLibrary[Modality], "")
)</f>
        <v>Mobility</v>
      </c>
      <c r="E71" s="5" t="str">
        <f>IF(SessionMovements[[#This Row],[MovementID]]="","",
   _xlfn.XLOOKUP(SessionMovements[[#This Row],[MovementID]], MovementLibrary[MovementID], MovementLibrary[Unit], "")
)</f>
        <v>reps</v>
      </c>
      <c r="F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">
        <v>3</v>
      </c>
      <c r="H71">
        <v>15</v>
      </c>
      <c r="K71" t="s">
        <v>897</v>
      </c>
      <c r="L71" s="5" t="str">
        <f>IF(COUNTIF(Sessions[SessionID],SessionMovements[[#This Row],[SessionID]])=0,"❌ Missing","✔ OK")</f>
        <v>✔ OK</v>
      </c>
    </row>
    <row r="72" spans="1:12" x14ac:dyDescent="0.3">
      <c r="A72" t="s">
        <v>917</v>
      </c>
      <c r="B72" t="s">
        <v>636</v>
      </c>
      <c r="C72" t="str">
        <f>IF(SessionMovements[[#This Row],[MovementID]]="","",
   _xlfn.XLOOKUP(SessionMovements[[#This Row],[MovementID]],MovementLibrary[MovementID],MovementLibrary[Name],"")
)</f>
        <v>Handstand Push-Up (Eccentric)</v>
      </c>
      <c r="D72" s="5" t="str">
        <f>IF(SessionMovements[[#This Row],[MovementID]]="","",
   _xlfn.XLOOKUP(SessionMovements[[#This Row],[MovementID]], MovementLibrary[MovementID], MovementLibrary[Modality], "")
)</f>
        <v>Gymnastics</v>
      </c>
      <c r="E72" s="5" t="str">
        <f>IF(SessionMovements[[#This Row],[MovementID]]="","",
   _xlfn.XLOOKUP(SessionMovements[[#This Row],[MovementID]], MovementLibrary[MovementID], MovementLibrary[Unit], "")
)</f>
        <v>reps</v>
      </c>
      <c r="F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">
        <v>4</v>
      </c>
      <c r="H72">
        <v>3</v>
      </c>
      <c r="K72" t="s">
        <v>912</v>
      </c>
      <c r="L72" s="5" t="str">
        <f>IF(COUNTIF(Sessions[SessionID],SessionMovements[[#This Row],[SessionID]])=0,"❌ Missing","✔ OK")</f>
        <v>✔ OK</v>
      </c>
    </row>
    <row r="73" spans="1:12" x14ac:dyDescent="0.3">
      <c r="A73" t="s">
        <v>917</v>
      </c>
      <c r="B73" t="s">
        <v>639</v>
      </c>
      <c r="C73" t="str">
        <f>IF(SessionMovements[[#This Row],[MovementID]]="","",
   _xlfn.XLOOKUP(SessionMovements[[#This Row],[MovementID]],MovementLibrary[MovementID],MovementLibrary[Name],"")
)</f>
        <v>Deficit Pike Push-Up</v>
      </c>
      <c r="D73" s="5" t="str">
        <f>IF(SessionMovements[[#This Row],[MovementID]]="","",
   _xlfn.XLOOKUP(SessionMovements[[#This Row],[MovementID]], MovementLibrary[MovementID], MovementLibrary[Modality], "")
)</f>
        <v>Gymnastics</v>
      </c>
      <c r="E73" s="5" t="str">
        <f>IF(SessionMovements[[#This Row],[MovementID]]="","",
   _xlfn.XLOOKUP(SessionMovements[[#This Row],[MovementID]], MovementLibrary[MovementID], MovementLibrary[Unit], "")
)</f>
        <v>reps</v>
      </c>
      <c r="F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">
        <v>4</v>
      </c>
      <c r="H73">
        <v>8</v>
      </c>
      <c r="L73" s="5" t="str">
        <f>IF(COUNTIF(Sessions[SessionID],SessionMovements[[#This Row],[SessionID]])=0,"❌ Missing","✔ OK")</f>
        <v>✔ OK</v>
      </c>
    </row>
    <row r="74" spans="1:12" x14ac:dyDescent="0.3">
      <c r="A74" t="s">
        <v>917</v>
      </c>
      <c r="B74" t="s">
        <v>262</v>
      </c>
      <c r="C74" t="str">
        <f>IF(SessionMovements[[#This Row],[MovementID]]="","",
   _xlfn.XLOOKUP(SessionMovements[[#This Row],[MovementID]],MovementLibrary[MovementID],MovementLibrary[Name],"")
)</f>
        <v>Strict Press</v>
      </c>
      <c r="D74" s="5" t="str">
        <f>IF(SessionMovements[[#This Row],[MovementID]]="","",
   _xlfn.XLOOKUP(SessionMovements[[#This Row],[MovementID]], MovementLibrary[MovementID], MovementLibrary[Modality], "")
)</f>
        <v>Barbell</v>
      </c>
      <c r="E74" s="5" t="str">
        <f>IF(SessionMovements[[#This Row],[MovementID]]="","",
   _xlfn.XLOOKUP(SessionMovements[[#This Row],[MovementID]], MovementLibrary[MovementID], MovementLibrary[Unit], "")
)</f>
        <v>kg</v>
      </c>
      <c r="F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">
        <v>3</v>
      </c>
      <c r="H74">
        <v>5</v>
      </c>
      <c r="J74">
        <v>75</v>
      </c>
      <c r="K74" t="s">
        <v>884</v>
      </c>
      <c r="L74" s="5" t="str">
        <f>IF(COUNTIF(Sessions[SessionID],SessionMovements[[#This Row],[SessionID]])=0,"❌ Missing","✔ OK")</f>
        <v>✔ OK</v>
      </c>
    </row>
    <row r="75" spans="1:12" x14ac:dyDescent="0.3">
      <c r="A75" t="s">
        <v>917</v>
      </c>
      <c r="B75" t="s">
        <v>437</v>
      </c>
      <c r="C75" t="str">
        <f>IF(SessionMovements[[#This Row],[MovementID]]="","",
   _xlfn.XLOOKUP(SessionMovements[[#This Row],[MovementID]],MovementLibrary[MovementID],MovementLibrary[Name],"")
)</f>
        <v>Plank Hold</v>
      </c>
      <c r="D75" s="5" t="str">
        <f>IF(SessionMovements[[#This Row],[MovementID]]="","",
   _xlfn.XLOOKUP(SessionMovements[[#This Row],[MovementID]], MovementLibrary[MovementID], MovementLibrary[Modality], "")
)</f>
        <v>Gymnastics</v>
      </c>
      <c r="E75" s="5" t="str">
        <f>IF(SessionMovements[[#This Row],[MovementID]]="","",
   _xlfn.XLOOKUP(SessionMovements[[#This Row],[MovementID]], MovementLibrary[MovementID], MovementLibrary[Unit], "")
)</f>
        <v>sec</v>
      </c>
      <c r="F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">
        <v>3</v>
      </c>
      <c r="H75">
        <v>60</v>
      </c>
      <c r="L75" s="5" t="str">
        <f>IF(COUNTIF(Sessions[SessionID],SessionMovements[[#This Row],[SessionID]])=0,"❌ Missing","✔ OK")</f>
        <v>✔ OK</v>
      </c>
    </row>
    <row r="76" spans="1:12" x14ac:dyDescent="0.3">
      <c r="A76" t="s">
        <v>918</v>
      </c>
      <c r="B76" t="s">
        <v>409</v>
      </c>
      <c r="C76" t="str">
        <f>IF(SessionMovements[[#This Row],[MovementID]]="","",
   _xlfn.XLOOKUP(SessionMovements[[#This Row],[MovementID]],MovementLibrary[MovementID],MovementLibrary[Name],"")
)</f>
        <v>Freestanding Handstand Hold</v>
      </c>
      <c r="D76" s="5" t="str">
        <f>IF(SessionMovements[[#This Row],[MovementID]]="","",
   _xlfn.XLOOKUP(SessionMovements[[#This Row],[MovementID]], MovementLibrary[MovementID], MovementLibrary[Modality], "")
)</f>
        <v>Gymnastics</v>
      </c>
      <c r="E76" s="5" t="str">
        <f>IF(SessionMovements[[#This Row],[MovementID]]="","",
   _xlfn.XLOOKUP(SessionMovements[[#This Row],[MovementID]], MovementLibrary[MovementID], MovementLibrary[Unit], "")
)</f>
        <v>sec</v>
      </c>
      <c r="F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">
        <v>5</v>
      </c>
      <c r="H76">
        <v>40</v>
      </c>
      <c r="L76" s="5" t="str">
        <f>IF(COUNTIF(Sessions[SessionID],SessionMovements[[#This Row],[SessionID]])=0,"❌ Missing","✔ OK")</f>
        <v>✔ OK</v>
      </c>
    </row>
    <row r="77" spans="1:12" x14ac:dyDescent="0.3">
      <c r="A77" t="s">
        <v>918</v>
      </c>
      <c r="B77" t="s">
        <v>642</v>
      </c>
      <c r="C77" t="str">
        <f>IF(SessionMovements[[#This Row],[MovementID]]="","",
   _xlfn.XLOOKUP(SessionMovements[[#This Row],[MovementID]],MovementLibrary[MovementID],MovementLibrary[Name],"")
)</f>
        <v>Partial ROM Handstand Push-Up</v>
      </c>
      <c r="D77" s="5" t="str">
        <f>IF(SessionMovements[[#This Row],[MovementID]]="","",
   _xlfn.XLOOKUP(SessionMovements[[#This Row],[MovementID]], MovementLibrary[MovementID], MovementLibrary[Modality], "")
)</f>
        <v>Gymnastics</v>
      </c>
      <c r="E77" s="5" t="str">
        <f>IF(SessionMovements[[#This Row],[MovementID]]="","",
   _xlfn.XLOOKUP(SessionMovements[[#This Row],[MovementID]], MovementLibrary[MovementID], MovementLibrary[Unit], "")
)</f>
        <v>reps</v>
      </c>
      <c r="F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">
        <v>4</v>
      </c>
      <c r="H77">
        <v>6</v>
      </c>
      <c r="K77" t="s">
        <v>914</v>
      </c>
      <c r="L77" s="5" t="str">
        <f>IF(COUNTIF(Sessions[SessionID],SessionMovements[[#This Row],[SessionID]])=0,"❌ Missing","✔ OK")</f>
        <v>✔ OK</v>
      </c>
    </row>
    <row r="78" spans="1:12" x14ac:dyDescent="0.3">
      <c r="A78" t="s">
        <v>918</v>
      </c>
      <c r="B78" t="s">
        <v>642</v>
      </c>
      <c r="C78" t="str">
        <f>IF(SessionMovements[[#This Row],[MovementID]]="","",
   _xlfn.XLOOKUP(SessionMovements[[#This Row],[MovementID]],MovementLibrary[MovementID],MovementLibrary[Name],"")
)</f>
        <v>Partial ROM Handstand Push-Up</v>
      </c>
      <c r="D78" s="5" t="str">
        <f>IF(SessionMovements[[#This Row],[MovementID]]="","",
   _xlfn.XLOOKUP(SessionMovements[[#This Row],[MovementID]], MovementLibrary[MovementID], MovementLibrary[Modality], "")
)</f>
        <v>Gymnastics</v>
      </c>
      <c r="E78" s="5" t="str">
        <f>IF(SessionMovements[[#This Row],[MovementID]]="","",
   _xlfn.XLOOKUP(SessionMovements[[#This Row],[MovementID]], MovementLibrary[MovementID], MovementLibrary[Unit], "")
)</f>
        <v>reps</v>
      </c>
      <c r="F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">
        <v>6</v>
      </c>
      <c r="H78">
        <v>2</v>
      </c>
      <c r="K78" t="s">
        <v>915</v>
      </c>
      <c r="L78" s="5" t="str">
        <f>IF(COUNTIF(Sessions[SessionID],SessionMovements[[#This Row],[SessionID]])=0,"❌ Missing","✔ OK")</f>
        <v>✔ OK</v>
      </c>
    </row>
    <row r="79" spans="1:12" x14ac:dyDescent="0.3">
      <c r="A79" t="s">
        <v>918</v>
      </c>
      <c r="B79" t="s">
        <v>530</v>
      </c>
      <c r="C79" t="str">
        <f>IF(SessionMovements[[#This Row],[MovementID]]="","",
   _xlfn.XLOOKUP(SessionMovements[[#This Row],[MovementID]],MovementLibrary[MovementID],MovementLibrary[Name],"")
)</f>
        <v>Hollow Hold</v>
      </c>
      <c r="D79" s="5" t="str">
        <f>IF(SessionMovements[[#This Row],[MovementID]]="","",
   _xlfn.XLOOKUP(SessionMovements[[#This Row],[MovementID]], MovementLibrary[MovementID], MovementLibrary[Modality], "")
)</f>
        <v>Gymnastics</v>
      </c>
      <c r="E79" s="5" t="str">
        <f>IF(SessionMovements[[#This Row],[MovementID]]="","",
   _xlfn.XLOOKUP(SessionMovements[[#This Row],[MovementID]], MovementLibrary[MovementID], MovementLibrary[Unit], "")
)</f>
        <v>sec</v>
      </c>
      <c r="F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">
        <v>3</v>
      </c>
      <c r="H79">
        <v>20</v>
      </c>
      <c r="L79" s="5" t="str">
        <f>IF(COUNTIF(Sessions[SessionID],SessionMovements[[#This Row],[SessionID]])=0,"❌ Missing","✔ OK")</f>
        <v>✔ OK</v>
      </c>
    </row>
    <row r="80" spans="1:12" x14ac:dyDescent="0.3">
      <c r="A80" t="s">
        <v>918</v>
      </c>
      <c r="B80" t="s">
        <v>1472</v>
      </c>
      <c r="C80" t="str">
        <f>IF(SessionMovements[[#This Row],[MovementID]]="","",
   _xlfn.XLOOKUP(SessionMovements[[#This Row],[MovementID]],MovementLibrary[MovementID],MovementLibrary[Name],"")
)</f>
        <v>DU and Burpees</v>
      </c>
      <c r="D80" s="5" t="str">
        <f>IF(SessionMovements[[#This Row],[MovementID]]="","",
   _xlfn.XLOOKUP(SessionMovements[[#This Row],[MovementID]], MovementLibrary[MovementID], MovementLibrary[Modality], "")
)</f>
        <v>Open Prep</v>
      </c>
      <c r="E80" s="5" t="str">
        <f>IF(SessionMovements[[#This Row],[MovementID]]="","",
   _xlfn.XLOOKUP(SessionMovements[[#This Row],[MovementID]], MovementLibrary[MovementID], MovementLibrary[Unit], "")
)</f>
        <v>sec</v>
      </c>
      <c r="F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" t="s">
        <v>885</v>
      </c>
      <c r="H80" t="s">
        <v>1477</v>
      </c>
      <c r="K80" t="s">
        <v>886</v>
      </c>
      <c r="L80" s="5" t="str">
        <f>IF(COUNTIF(Sessions[SessionID],SessionMovements[[#This Row],[SessionID]])=0,"❌ Missing","✔ OK")</f>
        <v>✔ OK</v>
      </c>
    </row>
    <row r="81" spans="1:12" x14ac:dyDescent="0.3">
      <c r="A81" t="s">
        <v>919</v>
      </c>
      <c r="B81" t="s">
        <v>409</v>
      </c>
      <c r="C81" t="str">
        <f>IF(SessionMovements[[#This Row],[MovementID]]="","",
   _xlfn.XLOOKUP(SessionMovements[[#This Row],[MovementID]],MovementLibrary[MovementID],MovementLibrary[Name],"")
)</f>
        <v>Freestanding Handstand Hold</v>
      </c>
      <c r="D81" s="5" t="str">
        <f>IF(SessionMovements[[#This Row],[MovementID]]="","",
   _xlfn.XLOOKUP(SessionMovements[[#This Row],[MovementID]], MovementLibrary[MovementID], MovementLibrary[Modality], "")
)</f>
        <v>Gymnastics</v>
      </c>
      <c r="E81" s="5" t="str">
        <f>IF(SessionMovements[[#This Row],[MovementID]]="","",
   _xlfn.XLOOKUP(SessionMovements[[#This Row],[MovementID]], MovementLibrary[MovementID], MovementLibrary[Unit], "")
)</f>
        <v>sec</v>
      </c>
      <c r="F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">
        <v>8</v>
      </c>
      <c r="H81">
        <v>30</v>
      </c>
      <c r="K81" t="s">
        <v>894</v>
      </c>
      <c r="L81" s="5" t="str">
        <f>IF(COUNTIF(Sessions[SessionID],SessionMovements[[#This Row],[SessionID]])=0,"❌ Missing","✔ OK")</f>
        <v>✔ OK</v>
      </c>
    </row>
    <row r="82" spans="1:12" x14ac:dyDescent="0.3">
      <c r="A82" t="s">
        <v>919</v>
      </c>
      <c r="B82" t="s">
        <v>639</v>
      </c>
      <c r="C82" t="str">
        <f>IF(SessionMovements[[#This Row],[MovementID]]="","",
   _xlfn.XLOOKUP(SessionMovements[[#This Row],[MovementID]],MovementLibrary[MovementID],MovementLibrary[Name],"")
)</f>
        <v>Deficit Pike Push-Up</v>
      </c>
      <c r="D82" s="5" t="str">
        <f>IF(SessionMovements[[#This Row],[MovementID]]="","",
   _xlfn.XLOOKUP(SessionMovements[[#This Row],[MovementID]], MovementLibrary[MovementID], MovementLibrary[Modality], "")
)</f>
        <v>Gymnastics</v>
      </c>
      <c r="E82" s="5" t="str">
        <f>IF(SessionMovements[[#This Row],[MovementID]]="","",
   _xlfn.XLOOKUP(SessionMovements[[#This Row],[MovementID]], MovementLibrary[MovementID], MovementLibrary[Unit], "")
)</f>
        <v>reps</v>
      </c>
      <c r="F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">
        <v>3</v>
      </c>
      <c r="H82">
        <v>8</v>
      </c>
      <c r="K82" t="s">
        <v>895</v>
      </c>
      <c r="L82" s="5" t="str">
        <f>IF(COUNTIF(Sessions[SessionID],SessionMovements[[#This Row],[SessionID]])=0,"❌ Missing","✔ OK")</f>
        <v>✔ OK</v>
      </c>
    </row>
    <row r="83" spans="1:12" x14ac:dyDescent="0.3">
      <c r="A83" t="s">
        <v>919</v>
      </c>
      <c r="B83" t="s">
        <v>642</v>
      </c>
      <c r="C83" t="str">
        <f>IF(SessionMovements[[#This Row],[MovementID]]="","",
   _xlfn.XLOOKUP(SessionMovements[[#This Row],[MovementID]],MovementLibrary[MovementID],MovementLibrary[Name],"")
)</f>
        <v>Partial ROM Handstand Push-Up</v>
      </c>
      <c r="D83" s="5" t="str">
        <f>IF(SessionMovements[[#This Row],[MovementID]]="","",
   _xlfn.XLOOKUP(SessionMovements[[#This Row],[MovementID]], MovementLibrary[MovementID], MovementLibrary[Modality], "")
)</f>
        <v>Gymnastics</v>
      </c>
      <c r="E83" s="5" t="str">
        <f>IF(SessionMovements[[#This Row],[MovementID]]="","",
   _xlfn.XLOOKUP(SessionMovements[[#This Row],[MovementID]], MovementLibrary[MovementID], MovementLibrary[Unit], "")
)</f>
        <v>reps</v>
      </c>
      <c r="F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">
        <v>4</v>
      </c>
      <c r="H83">
        <v>4</v>
      </c>
      <c r="K83" t="s">
        <v>896</v>
      </c>
      <c r="L83" s="5" t="str">
        <f>IF(COUNTIF(Sessions[SessionID],SessionMovements[[#This Row],[SessionID]])=0,"❌ Missing","✔ OK")</f>
        <v>✔ OK</v>
      </c>
    </row>
    <row r="84" spans="1:12" x14ac:dyDescent="0.3">
      <c r="A84" t="s">
        <v>919</v>
      </c>
      <c r="B84" t="s">
        <v>648</v>
      </c>
      <c r="C84" t="str">
        <f>IF(SessionMovements[[#This Row],[MovementID]]="","",
   _xlfn.XLOOKUP(SessionMovements[[#This Row],[MovementID]],MovementLibrary[MovementID],MovementLibrary[Name],"")
)</f>
        <v>Scapular Wall Slide</v>
      </c>
      <c r="D84" s="5" t="str">
        <f>IF(SessionMovements[[#This Row],[MovementID]]="","",
   _xlfn.XLOOKUP(SessionMovements[[#This Row],[MovementID]], MovementLibrary[MovementID], MovementLibrary[Modality], "")
)</f>
        <v>Mobility</v>
      </c>
      <c r="E84" s="5" t="str">
        <f>IF(SessionMovements[[#This Row],[MovementID]]="","",
   _xlfn.XLOOKUP(SessionMovements[[#This Row],[MovementID]], MovementLibrary[MovementID], MovementLibrary[Unit], "")
)</f>
        <v>reps</v>
      </c>
      <c r="F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">
        <v>3</v>
      </c>
      <c r="H84">
        <v>15</v>
      </c>
      <c r="K84" t="s">
        <v>897</v>
      </c>
      <c r="L84" s="5" t="str">
        <f>IF(COUNTIF(Sessions[SessionID],SessionMovements[[#This Row],[SessionID]])=0,"❌ Missing","✔ OK")</f>
        <v>✔ OK</v>
      </c>
    </row>
    <row r="85" spans="1:12" x14ac:dyDescent="0.3">
      <c r="A85" t="s">
        <v>919</v>
      </c>
      <c r="B85" t="s">
        <v>807</v>
      </c>
      <c r="C85" t="str">
        <f>IF(SessionMovements[[#This Row],[MovementID]]="","",
   _xlfn.XLOOKUP(SessionMovements[[#This Row],[MovementID]],MovementLibrary[MovementID],MovementLibrary[Name],"")
)</f>
        <v>Wall Walk</v>
      </c>
      <c r="D85" s="5" t="str">
        <f>IF(SessionMovements[[#This Row],[MovementID]]="","",
   _xlfn.XLOOKUP(SessionMovements[[#This Row],[MovementID]], MovementLibrary[MovementID], MovementLibrary[Modality], "")
)</f>
        <v>Gymnastic</v>
      </c>
      <c r="E85" s="5" t="str">
        <f>IF(SessionMovements[[#This Row],[MovementID]]="","",
   _xlfn.XLOOKUP(SessionMovements[[#This Row],[MovementID]], MovementLibrary[MovementID], MovementLibrary[Unit], "")
)</f>
        <v>reps</v>
      </c>
      <c r="F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" t="s">
        <v>885</v>
      </c>
      <c r="H85">
        <v>2</v>
      </c>
      <c r="K85" t="s">
        <v>892</v>
      </c>
      <c r="L85" s="5" t="str">
        <f>IF(COUNTIF(Sessions[SessionID],SessionMovements[[#This Row],[SessionID]])=0,"❌ Missing","✔ OK")</f>
        <v>✔ OK</v>
      </c>
    </row>
    <row r="86" spans="1:12" x14ac:dyDescent="0.3">
      <c r="A86" t="s">
        <v>920</v>
      </c>
      <c r="B86" t="s">
        <v>276</v>
      </c>
      <c r="C86" t="str">
        <f>IF(SessionMovements[[#This Row],[MovementID]]="","",
   _xlfn.XLOOKUP(SessionMovements[[#This Row],[MovementID]],MovementLibrary[MovementID],MovementLibrary[Name],"")
)</f>
        <v>Hang Snatch</v>
      </c>
      <c r="D86" s="5" t="str">
        <f>IF(SessionMovements[[#This Row],[MovementID]]="","",
   _xlfn.XLOOKUP(SessionMovements[[#This Row],[MovementID]], MovementLibrary[MovementID], MovementLibrary[Modality], "")
)</f>
        <v>Barbell</v>
      </c>
      <c r="E86" s="5" t="str">
        <f>IF(SessionMovements[[#This Row],[MovementID]]="","",
   _xlfn.XLOOKUP(SessionMovements[[#This Row],[MovementID]], MovementLibrary[MovementID], MovementLibrary[Unit], "")
)</f>
        <v>kg</v>
      </c>
      <c r="F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">
        <v>6</v>
      </c>
      <c r="H86">
        <v>3</v>
      </c>
      <c r="K86" t="s">
        <v>921</v>
      </c>
      <c r="L86" s="5" t="str">
        <f>IF(COUNTIF(Sessions[SessionID],SessionMovements[[#This Row],[SessionID]])=0,"❌ Missing","✔ OK")</f>
        <v>✔ OK</v>
      </c>
    </row>
    <row r="87" spans="1:12" x14ac:dyDescent="0.3">
      <c r="A87" t="s">
        <v>920</v>
      </c>
      <c r="B87" t="s">
        <v>651</v>
      </c>
      <c r="C87" t="str">
        <f>IF(SessionMovements[[#This Row],[MovementID]]="","",
   _xlfn.XLOOKUP(SessionMovements[[#This Row],[MovementID]],MovementLibrary[MovementID],MovementLibrary[Name],"")
)</f>
        <v>Segmented Snatch Deadlift (1" + knee)</v>
      </c>
      <c r="D87" s="5" t="str">
        <f>IF(SessionMovements[[#This Row],[MovementID]]="","",
   _xlfn.XLOOKUP(SessionMovements[[#This Row],[MovementID]], MovementLibrary[MovementID], MovementLibrary[Modality], "")
)</f>
        <v>Barbell</v>
      </c>
      <c r="E87" s="5" t="str">
        <f>IF(SessionMovements[[#This Row],[MovementID]]="","",
   _xlfn.XLOOKUP(SessionMovements[[#This Row],[MovementID]], MovementLibrary[MovementID], MovementLibrary[Unit], "")
)</f>
        <v>kg</v>
      </c>
      <c r="F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">
        <v>5</v>
      </c>
      <c r="H87">
        <v>3</v>
      </c>
      <c r="K87" t="s">
        <v>922</v>
      </c>
      <c r="L87" s="5" t="str">
        <f>IF(COUNTIF(Sessions[SessionID],SessionMovements[[#This Row],[SessionID]])=0,"❌ Missing","✔ OK")</f>
        <v>✔ OK</v>
      </c>
    </row>
    <row r="88" spans="1:12" x14ac:dyDescent="0.3">
      <c r="A88" t="s">
        <v>920</v>
      </c>
      <c r="B88" t="s">
        <v>258</v>
      </c>
      <c r="C88" t="str">
        <f>IF(SessionMovements[[#This Row],[MovementID]]="","",
   _xlfn.XLOOKUP(SessionMovements[[#This Row],[MovementID]],MovementLibrary[MovementID],MovementLibrary[Name],"")
)</f>
        <v>Overhead Squat</v>
      </c>
      <c r="D88" s="5" t="str">
        <f>IF(SessionMovements[[#This Row],[MovementID]]="","",
   _xlfn.XLOOKUP(SessionMovements[[#This Row],[MovementID]], MovementLibrary[MovementID], MovementLibrary[Modality], "")
)</f>
        <v>Barbell</v>
      </c>
      <c r="E88" s="5" t="str">
        <f>IF(SessionMovements[[#This Row],[MovementID]]="","",
   _xlfn.XLOOKUP(SessionMovements[[#This Row],[MovementID]], MovementLibrary[MovementID], MovementLibrary[Unit], "")
)</f>
        <v>kg</v>
      </c>
      <c r="F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">
        <v>5</v>
      </c>
      <c r="H88">
        <v>3</v>
      </c>
      <c r="L88" s="5" t="str">
        <f>IF(COUNTIF(Sessions[SessionID],SessionMovements[[#This Row],[SessionID]])=0,"❌ Missing","✔ OK")</f>
        <v>✔ OK</v>
      </c>
    </row>
    <row r="89" spans="1:12" x14ac:dyDescent="0.3">
      <c r="A89" t="s">
        <v>920</v>
      </c>
      <c r="B89" t="s">
        <v>298</v>
      </c>
      <c r="C89" t="str">
        <f>IF(SessionMovements[[#This Row],[MovementID]]="","",
   _xlfn.XLOOKUP(SessionMovements[[#This Row],[MovementID]],MovementLibrary[MovementID],MovementLibrary[Name],"")
)</f>
        <v>Back Squat</v>
      </c>
      <c r="D89" s="5" t="str">
        <f>IF(SessionMovements[[#This Row],[MovementID]]="","",
   _xlfn.XLOOKUP(SessionMovements[[#This Row],[MovementID]], MovementLibrary[MovementID], MovementLibrary[Modality], "")
)</f>
        <v>Barbell</v>
      </c>
      <c r="E89" s="5" t="str">
        <f>IF(SessionMovements[[#This Row],[MovementID]]="","",
   _xlfn.XLOOKUP(SessionMovements[[#This Row],[MovementID]], MovementLibrary[MovementID], MovementLibrary[Unit], "")
)</f>
        <v>kg</v>
      </c>
      <c r="F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">
        <v>4</v>
      </c>
      <c r="H89">
        <v>8</v>
      </c>
      <c r="L89" s="5" t="str">
        <f>IF(COUNTIF(Sessions[SessionID],SessionMovements[[#This Row],[SessionID]])=0,"❌ Missing","✔ OK")</f>
        <v>✔ OK</v>
      </c>
    </row>
    <row r="90" spans="1:12" x14ac:dyDescent="0.3">
      <c r="A90" t="s">
        <v>923</v>
      </c>
      <c r="B90" t="s">
        <v>662</v>
      </c>
      <c r="C90" t="str">
        <f>IF(SessionMovements[[#This Row],[MovementID]]="","",
   _xlfn.XLOOKUP(SessionMovements[[#This Row],[MovementID]],MovementLibrary[MovementID],MovementLibrary[Name],"")
)</f>
        <v>Power Clean + Front Squat (Complex)</v>
      </c>
      <c r="D90" s="5" t="str">
        <f>IF(SessionMovements[[#This Row],[MovementID]]="","",
   _xlfn.XLOOKUP(SessionMovements[[#This Row],[MovementID]], MovementLibrary[MovementID], MovementLibrary[Modality], "")
)</f>
        <v>Barbell</v>
      </c>
      <c r="E90" s="5" t="str">
        <f>IF(SessionMovements[[#This Row],[MovementID]]="","",
   _xlfn.XLOOKUP(SessionMovements[[#This Row],[MovementID]], MovementLibrary[MovementID], MovementLibrary[Unit], "")
)</f>
        <v>kg</v>
      </c>
      <c r="F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">
        <v>6</v>
      </c>
      <c r="H90" t="s">
        <v>924</v>
      </c>
      <c r="L90" s="5" t="str">
        <f>IF(COUNTIF(Sessions[SessionID],SessionMovements[[#This Row],[SessionID]])=0,"❌ Missing","✔ OK")</f>
        <v>✔ OK</v>
      </c>
    </row>
    <row r="91" spans="1:12" x14ac:dyDescent="0.3">
      <c r="A91" t="s">
        <v>923</v>
      </c>
      <c r="B91" t="s">
        <v>656</v>
      </c>
      <c r="C91" t="str">
        <f>IF(SessionMovements[[#This Row],[MovementID]]="","",
   _xlfn.XLOOKUP(SessionMovements[[#This Row],[MovementID]],MovementLibrary[MovementID],MovementLibrary[Name],"")
)</f>
        <v>Clean High Pull</v>
      </c>
      <c r="D91" s="5" t="str">
        <f>IF(SessionMovements[[#This Row],[MovementID]]="","",
   _xlfn.XLOOKUP(SessionMovements[[#This Row],[MovementID]], MovementLibrary[MovementID], MovementLibrary[Modality], "")
)</f>
        <v>Barbell</v>
      </c>
      <c r="E91" s="5" t="str">
        <f>IF(SessionMovements[[#This Row],[MovementID]]="","",
   _xlfn.XLOOKUP(SessionMovements[[#This Row],[MovementID]], MovementLibrary[MovementID], MovementLibrary[Unit], "")
)</f>
        <v>kg</v>
      </c>
      <c r="F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">
        <v>5</v>
      </c>
      <c r="H91">
        <v>5</v>
      </c>
      <c r="L91" s="5" t="str">
        <f>IF(COUNTIF(Sessions[SessionID],SessionMovements[[#This Row],[SessionID]])=0,"❌ Missing","✔ OK")</f>
        <v>✔ OK</v>
      </c>
    </row>
    <row r="92" spans="1:12" x14ac:dyDescent="0.3">
      <c r="A92" t="s">
        <v>923</v>
      </c>
      <c r="B92" t="s">
        <v>290</v>
      </c>
      <c r="C92" t="str">
        <f>IF(SessionMovements[[#This Row],[MovementID]]="","",
   _xlfn.XLOOKUP(SessionMovements[[#This Row],[MovementID]],MovementLibrary[MovementID],MovementLibrary[Name],"")
)</f>
        <v>Push Jerk</v>
      </c>
      <c r="D92" s="5" t="str">
        <f>IF(SessionMovements[[#This Row],[MovementID]]="","",
   _xlfn.XLOOKUP(SessionMovements[[#This Row],[MovementID]], MovementLibrary[MovementID], MovementLibrary[Modality], "")
)</f>
        <v>Barbell</v>
      </c>
      <c r="E92" s="5" t="str">
        <f>IF(SessionMovements[[#This Row],[MovementID]]="","",
   _xlfn.XLOOKUP(SessionMovements[[#This Row],[MovementID]], MovementLibrary[MovementID], MovementLibrary[Unit], "")
)</f>
        <v>kg</v>
      </c>
      <c r="F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">
        <v>6</v>
      </c>
      <c r="H92">
        <v>3</v>
      </c>
      <c r="L92" s="5" t="str">
        <f>IF(COUNTIF(Sessions[SessionID],SessionMovements[[#This Row],[SessionID]])=0,"❌ Missing","✔ OK")</f>
        <v>✔ OK</v>
      </c>
    </row>
    <row r="93" spans="1:12" x14ac:dyDescent="0.3">
      <c r="A93" t="s">
        <v>923</v>
      </c>
      <c r="B93" t="s">
        <v>262</v>
      </c>
      <c r="C93" t="str">
        <f>IF(SessionMovements[[#This Row],[MovementID]]="","",
   _xlfn.XLOOKUP(SessionMovements[[#This Row],[MovementID]],MovementLibrary[MovementID],MovementLibrary[Name],"")
)</f>
        <v>Strict Press</v>
      </c>
      <c r="D93" s="5" t="str">
        <f>IF(SessionMovements[[#This Row],[MovementID]]="","",
   _xlfn.XLOOKUP(SessionMovements[[#This Row],[MovementID]], MovementLibrary[MovementID], MovementLibrary[Modality], "")
)</f>
        <v>Barbell</v>
      </c>
      <c r="E93" s="5" t="str">
        <f>IF(SessionMovements[[#This Row],[MovementID]]="","",
   _xlfn.XLOOKUP(SessionMovements[[#This Row],[MovementID]], MovementLibrary[MovementID], MovementLibrary[Unit], "")
)</f>
        <v>kg</v>
      </c>
      <c r="F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">
        <v>5</v>
      </c>
      <c r="H93">
        <v>6</v>
      </c>
      <c r="L93" s="5" t="str">
        <f>IF(COUNTIF(Sessions[SessionID],SessionMovements[[#This Row],[SessionID]])=0,"❌ Missing","✔ OK")</f>
        <v>✔ OK</v>
      </c>
    </row>
    <row r="94" spans="1:12" x14ac:dyDescent="0.3">
      <c r="A94" t="s">
        <v>925</v>
      </c>
      <c r="B94" t="s">
        <v>665</v>
      </c>
      <c r="C94" t="str">
        <f>IF(SessionMovements[[#This Row],[MovementID]]="","",
   _xlfn.XLOOKUP(SessionMovements[[#This Row],[MovementID]],MovementLibrary[MovementID],MovementLibrary[Name],"")
)</f>
        <v>Hang Clean (knee) + Jerk (Complex)</v>
      </c>
      <c r="D94" s="5" t="str">
        <f>IF(SessionMovements[[#This Row],[MovementID]]="","",
   _xlfn.XLOOKUP(SessionMovements[[#This Row],[MovementID]], MovementLibrary[MovementID], MovementLibrary[Modality], "")
)</f>
        <v>Barbell</v>
      </c>
      <c r="E94" s="5" t="str">
        <f>IF(SessionMovements[[#This Row],[MovementID]]="","",
   _xlfn.XLOOKUP(SessionMovements[[#This Row],[MovementID]], MovementLibrary[MovementID], MovementLibrary[Unit], "")
)</f>
        <v>kg</v>
      </c>
      <c r="F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">
        <v>6</v>
      </c>
      <c r="H94" t="s">
        <v>926</v>
      </c>
      <c r="K94" t="s">
        <v>927</v>
      </c>
      <c r="L94" s="5" t="str">
        <f>IF(COUNTIF(Sessions[SessionID],SessionMovements[[#This Row],[SessionID]])=0,"❌ Missing","✔ OK")</f>
        <v>✔ OK</v>
      </c>
    </row>
    <row r="95" spans="1:12" x14ac:dyDescent="0.3">
      <c r="A95" t="s">
        <v>925</v>
      </c>
      <c r="B95" t="s">
        <v>298</v>
      </c>
      <c r="C95" t="str">
        <f>IF(SessionMovements[[#This Row],[MovementID]]="","",
   _xlfn.XLOOKUP(SessionMovements[[#This Row],[MovementID]],MovementLibrary[MovementID],MovementLibrary[Name],"")
)</f>
        <v>Back Squat</v>
      </c>
      <c r="D95" s="5" t="str">
        <f>IF(SessionMovements[[#This Row],[MovementID]]="","",
   _xlfn.XLOOKUP(SessionMovements[[#This Row],[MovementID]], MovementLibrary[MovementID], MovementLibrary[Modality], "")
)</f>
        <v>Barbell</v>
      </c>
      <c r="E95" s="5" t="str">
        <f>IF(SessionMovements[[#This Row],[MovementID]]="","",
   _xlfn.XLOOKUP(SessionMovements[[#This Row],[MovementID]], MovementLibrary[MovementID], MovementLibrary[Unit], "")
)</f>
        <v>kg</v>
      </c>
      <c r="F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">
        <v>5</v>
      </c>
      <c r="H95">
        <v>5</v>
      </c>
      <c r="L95" s="5" t="str">
        <f>IF(COUNTIF(Sessions[SessionID],SessionMovements[[#This Row],[SessionID]])=0,"❌ Missing","✔ OK")</f>
        <v>✔ OK</v>
      </c>
    </row>
    <row r="96" spans="1:12" x14ac:dyDescent="0.3">
      <c r="A96" t="s">
        <v>928</v>
      </c>
      <c r="B96" t="s">
        <v>668</v>
      </c>
      <c r="C96" t="str">
        <f>IF(SessionMovements[[#This Row],[MovementID]]="","",
   _xlfn.XLOOKUP(SessionMovements[[#This Row],[MovementID]],MovementLibrary[MovementID],MovementLibrary[Name],"")
)</f>
        <v>Power Snatch + OHS (Complex)</v>
      </c>
      <c r="D96" s="5" t="str">
        <f>IF(SessionMovements[[#This Row],[MovementID]]="","",
   _xlfn.XLOOKUP(SessionMovements[[#This Row],[MovementID]], MovementLibrary[MovementID], MovementLibrary[Modality], "")
)</f>
        <v>Barbell</v>
      </c>
      <c r="E96" s="5" t="str">
        <f>IF(SessionMovements[[#This Row],[MovementID]]="","",
   _xlfn.XLOOKUP(SessionMovements[[#This Row],[MovementID]], MovementLibrary[MovementID], MovementLibrary[Unit], "")
)</f>
        <v>kg</v>
      </c>
      <c r="F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">
        <v>6</v>
      </c>
      <c r="H96" t="s">
        <v>924</v>
      </c>
      <c r="L96" s="5" t="str">
        <f>IF(COUNTIF(Sessions[SessionID],SessionMovements[[#This Row],[SessionID]])=0,"❌ Missing","✔ OK")</f>
        <v>✔ OK</v>
      </c>
    </row>
    <row r="97" spans="1:12" x14ac:dyDescent="0.3">
      <c r="A97" t="s">
        <v>928</v>
      </c>
      <c r="B97" t="s">
        <v>659</v>
      </c>
      <c r="C97" t="str">
        <f>IF(SessionMovements[[#This Row],[MovementID]]="","",
   _xlfn.XLOOKUP(SessionMovements[[#This Row],[MovementID]],MovementLibrary[MovementID],MovementLibrary[Name],"")
)</f>
        <v>Snatch High Pull</v>
      </c>
      <c r="D97" s="5" t="str">
        <f>IF(SessionMovements[[#This Row],[MovementID]]="","",
   _xlfn.XLOOKUP(SessionMovements[[#This Row],[MovementID]], MovementLibrary[MovementID], MovementLibrary[Modality], "")
)</f>
        <v>Barbell</v>
      </c>
      <c r="E97" s="5" t="str">
        <f>IF(SessionMovements[[#This Row],[MovementID]]="","",
   _xlfn.XLOOKUP(SessionMovements[[#This Row],[MovementID]], MovementLibrary[MovementID], MovementLibrary[Unit], "")
)</f>
        <v>kg</v>
      </c>
      <c r="F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">
        <v>5</v>
      </c>
      <c r="H97">
        <v>5</v>
      </c>
      <c r="L97" s="5" t="str">
        <f>IF(COUNTIF(Sessions[SessionID],SessionMovements[[#This Row],[SessionID]])=0,"❌ Missing","✔ OK")</f>
        <v>✔ OK</v>
      </c>
    </row>
    <row r="98" spans="1:12" x14ac:dyDescent="0.3">
      <c r="A98" t="s">
        <v>928</v>
      </c>
      <c r="B98" t="s">
        <v>296</v>
      </c>
      <c r="C98" t="str">
        <f>IF(SessionMovements[[#This Row],[MovementID]]="","",
   _xlfn.XLOOKUP(SessionMovements[[#This Row],[MovementID]],MovementLibrary[MovementID],MovementLibrary[Name],"")
)</f>
        <v>Front Squat</v>
      </c>
      <c r="D98" s="5" t="str">
        <f>IF(SessionMovements[[#This Row],[MovementID]]="","",
   _xlfn.XLOOKUP(SessionMovements[[#This Row],[MovementID]], MovementLibrary[MovementID], MovementLibrary[Modality], "")
)</f>
        <v>Barbell</v>
      </c>
      <c r="E98" s="5" t="str">
        <f>IF(SessionMovements[[#This Row],[MovementID]]="","",
   _xlfn.XLOOKUP(SessionMovements[[#This Row],[MovementID]], MovementLibrary[MovementID], MovementLibrary[Unit], "")
)</f>
        <v>kg</v>
      </c>
      <c r="F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">
        <v>5</v>
      </c>
      <c r="H98">
        <v>4</v>
      </c>
      <c r="L98" s="5" t="str">
        <f>IF(COUNTIF(Sessions[SessionID],SessionMovements[[#This Row],[SessionID]])=0,"❌ Missing","✔ OK")</f>
        <v>✔ OK</v>
      </c>
    </row>
    <row r="99" spans="1:12" x14ac:dyDescent="0.3">
      <c r="A99" t="s">
        <v>928</v>
      </c>
      <c r="B99" t="s">
        <v>671</v>
      </c>
      <c r="C99" t="str">
        <f>IF(SessionMovements[[#This Row],[MovementID]]="","",
   _xlfn.XLOOKUP(SessionMovements[[#This Row],[MovementID]],MovementLibrary[MovementID],MovementLibrary[Name],"")
)</f>
        <v>Snatch Press (Behind-the-neck)</v>
      </c>
      <c r="D99" s="5" t="str">
        <f>IF(SessionMovements[[#This Row],[MovementID]]="","",
   _xlfn.XLOOKUP(SessionMovements[[#This Row],[MovementID]], MovementLibrary[MovementID], MovementLibrary[Modality], "")
)</f>
        <v>Barbell</v>
      </c>
      <c r="E99" s="5" t="str">
        <f>IF(SessionMovements[[#This Row],[MovementID]]="","",
   _xlfn.XLOOKUP(SessionMovements[[#This Row],[MovementID]], MovementLibrary[MovementID], MovementLibrary[Unit], "")
)</f>
        <v>kg</v>
      </c>
      <c r="F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">
        <v>5</v>
      </c>
      <c r="H99">
        <v>6</v>
      </c>
      <c r="L99" s="5" t="str">
        <f>IF(COUNTIF(Sessions[SessionID],SessionMovements[[#This Row],[SessionID]])=0,"❌ Missing","✔ OK")</f>
        <v>✔ OK</v>
      </c>
    </row>
    <row r="100" spans="1:12" x14ac:dyDescent="0.3">
      <c r="A100" t="s">
        <v>929</v>
      </c>
      <c r="B100" t="s">
        <v>276</v>
      </c>
      <c r="C100" t="str">
        <f>IF(SessionMovements[[#This Row],[MovementID]]="","",
   _xlfn.XLOOKUP(SessionMovements[[#This Row],[MovementID]],MovementLibrary[MovementID],MovementLibrary[Name],"")
)</f>
        <v>Hang Snatch</v>
      </c>
      <c r="D100" s="5" t="str">
        <f>IF(SessionMovements[[#This Row],[MovementID]]="","",
   _xlfn.XLOOKUP(SessionMovements[[#This Row],[MovementID]], MovementLibrary[MovementID], MovementLibrary[Modality], "")
)</f>
        <v>Barbell</v>
      </c>
      <c r="E100" s="5" t="str">
        <f>IF(SessionMovements[[#This Row],[MovementID]]="","",
   _xlfn.XLOOKUP(SessionMovements[[#This Row],[MovementID]], MovementLibrary[MovementID], MovementLibrary[Unit], "")
)</f>
        <v>kg</v>
      </c>
      <c r="F1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">
        <v>6</v>
      </c>
      <c r="H100">
        <v>3</v>
      </c>
      <c r="K100" t="s">
        <v>921</v>
      </c>
      <c r="L100" s="5" t="str">
        <f>IF(COUNTIF(Sessions[SessionID],SessionMovements[[#This Row],[SessionID]])=0,"❌ Missing","✔ OK")</f>
        <v>✔ OK</v>
      </c>
    </row>
    <row r="101" spans="1:12" x14ac:dyDescent="0.3">
      <c r="A101" t="s">
        <v>929</v>
      </c>
      <c r="B101" t="s">
        <v>651</v>
      </c>
      <c r="C101" t="str">
        <f>IF(SessionMovements[[#This Row],[MovementID]]="","",
   _xlfn.XLOOKUP(SessionMovements[[#This Row],[MovementID]],MovementLibrary[MovementID],MovementLibrary[Name],"")
)</f>
        <v>Segmented Snatch Deadlift (1" + knee)</v>
      </c>
      <c r="D101" s="5" t="str">
        <f>IF(SessionMovements[[#This Row],[MovementID]]="","",
   _xlfn.XLOOKUP(SessionMovements[[#This Row],[MovementID]], MovementLibrary[MovementID], MovementLibrary[Modality], "")
)</f>
        <v>Barbell</v>
      </c>
      <c r="E101" s="5" t="str">
        <f>IF(SessionMovements[[#This Row],[MovementID]]="","",
   _xlfn.XLOOKUP(SessionMovements[[#This Row],[MovementID]], MovementLibrary[MovementID], MovementLibrary[Unit], "")
)</f>
        <v>kg</v>
      </c>
      <c r="F1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">
        <v>5</v>
      </c>
      <c r="H101">
        <v>3</v>
      </c>
      <c r="K101" t="s">
        <v>922</v>
      </c>
      <c r="L101" s="5" t="str">
        <f>IF(COUNTIF(Sessions[SessionID],SessionMovements[[#This Row],[SessionID]])=0,"❌ Missing","✔ OK")</f>
        <v>✔ OK</v>
      </c>
    </row>
    <row r="102" spans="1:12" x14ac:dyDescent="0.3">
      <c r="A102" t="s">
        <v>929</v>
      </c>
      <c r="B102" t="s">
        <v>258</v>
      </c>
      <c r="C102" t="str">
        <f>IF(SessionMovements[[#This Row],[MovementID]]="","",
   _xlfn.XLOOKUP(SessionMovements[[#This Row],[MovementID]],MovementLibrary[MovementID],MovementLibrary[Name],"")
)</f>
        <v>Overhead Squat</v>
      </c>
      <c r="D102" s="5" t="str">
        <f>IF(SessionMovements[[#This Row],[MovementID]]="","",
   _xlfn.XLOOKUP(SessionMovements[[#This Row],[MovementID]], MovementLibrary[MovementID], MovementLibrary[Modality], "")
)</f>
        <v>Barbell</v>
      </c>
      <c r="E102" s="5" t="str">
        <f>IF(SessionMovements[[#This Row],[MovementID]]="","",
   _xlfn.XLOOKUP(SessionMovements[[#This Row],[MovementID]], MovementLibrary[MovementID], MovementLibrary[Unit], "")
)</f>
        <v>kg</v>
      </c>
      <c r="F1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">
        <v>5</v>
      </c>
      <c r="H102">
        <v>3</v>
      </c>
      <c r="L102" s="5" t="str">
        <f>IF(COUNTIF(Sessions[SessionID],SessionMovements[[#This Row],[SessionID]])=0,"❌ Missing","✔ OK")</f>
        <v>✔ OK</v>
      </c>
    </row>
    <row r="103" spans="1:12" x14ac:dyDescent="0.3">
      <c r="A103" t="s">
        <v>929</v>
      </c>
      <c r="B103" t="s">
        <v>298</v>
      </c>
      <c r="C103" t="str">
        <f>IF(SessionMovements[[#This Row],[MovementID]]="","",
   _xlfn.XLOOKUP(SessionMovements[[#This Row],[MovementID]],MovementLibrary[MovementID],MovementLibrary[Name],"")
)</f>
        <v>Back Squat</v>
      </c>
      <c r="D103" s="5" t="str">
        <f>IF(SessionMovements[[#This Row],[MovementID]]="","",
   _xlfn.XLOOKUP(SessionMovements[[#This Row],[MovementID]], MovementLibrary[MovementID], MovementLibrary[Modality], "")
)</f>
        <v>Barbell</v>
      </c>
      <c r="E103" s="5" t="str">
        <f>IF(SessionMovements[[#This Row],[MovementID]]="","",
   _xlfn.XLOOKUP(SessionMovements[[#This Row],[MovementID]], MovementLibrary[MovementID], MovementLibrary[Unit], "")
)</f>
        <v>kg</v>
      </c>
      <c r="F1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">
        <v>4</v>
      </c>
      <c r="H103">
        <v>8</v>
      </c>
      <c r="L103" s="5" t="str">
        <f>IF(COUNTIF(Sessions[SessionID],SessionMovements[[#This Row],[SessionID]])=0,"❌ Missing","✔ OK")</f>
        <v>✔ OK</v>
      </c>
    </row>
    <row r="104" spans="1:12" x14ac:dyDescent="0.3">
      <c r="A104" t="s">
        <v>930</v>
      </c>
      <c r="B104" t="s">
        <v>662</v>
      </c>
      <c r="C104" t="str">
        <f>IF(SessionMovements[[#This Row],[MovementID]]="","",
   _xlfn.XLOOKUP(SessionMovements[[#This Row],[MovementID]],MovementLibrary[MovementID],MovementLibrary[Name],"")
)</f>
        <v>Power Clean + Front Squat (Complex)</v>
      </c>
      <c r="D104" s="5" t="str">
        <f>IF(SessionMovements[[#This Row],[MovementID]]="","",
   _xlfn.XLOOKUP(SessionMovements[[#This Row],[MovementID]], MovementLibrary[MovementID], MovementLibrary[Modality], "")
)</f>
        <v>Barbell</v>
      </c>
      <c r="E104" s="5" t="str">
        <f>IF(SessionMovements[[#This Row],[MovementID]]="","",
   _xlfn.XLOOKUP(SessionMovements[[#This Row],[MovementID]], MovementLibrary[MovementID], MovementLibrary[Unit], "")
)</f>
        <v>kg</v>
      </c>
      <c r="F1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">
        <v>6</v>
      </c>
      <c r="H104" t="s">
        <v>924</v>
      </c>
      <c r="L104" s="5" t="str">
        <f>IF(COUNTIF(Sessions[SessionID],SessionMovements[[#This Row],[SessionID]])=0,"❌ Missing","✔ OK")</f>
        <v>✔ OK</v>
      </c>
    </row>
    <row r="105" spans="1:12" x14ac:dyDescent="0.3">
      <c r="A105" t="s">
        <v>930</v>
      </c>
      <c r="B105" t="s">
        <v>656</v>
      </c>
      <c r="C105" t="str">
        <f>IF(SessionMovements[[#This Row],[MovementID]]="","",
   _xlfn.XLOOKUP(SessionMovements[[#This Row],[MovementID]],MovementLibrary[MovementID],MovementLibrary[Name],"")
)</f>
        <v>Clean High Pull</v>
      </c>
      <c r="D105" s="5" t="str">
        <f>IF(SessionMovements[[#This Row],[MovementID]]="","",
   _xlfn.XLOOKUP(SessionMovements[[#This Row],[MovementID]], MovementLibrary[MovementID], MovementLibrary[Modality], "")
)</f>
        <v>Barbell</v>
      </c>
      <c r="E105" s="5" t="str">
        <f>IF(SessionMovements[[#This Row],[MovementID]]="","",
   _xlfn.XLOOKUP(SessionMovements[[#This Row],[MovementID]], MovementLibrary[MovementID], MovementLibrary[Unit], "")
)</f>
        <v>kg</v>
      </c>
      <c r="F1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">
        <v>5</v>
      </c>
      <c r="H105">
        <v>5</v>
      </c>
      <c r="L105" s="5" t="str">
        <f>IF(COUNTIF(Sessions[SessionID],SessionMovements[[#This Row],[SessionID]])=0,"❌ Missing","✔ OK")</f>
        <v>✔ OK</v>
      </c>
    </row>
    <row r="106" spans="1:12" x14ac:dyDescent="0.3">
      <c r="A106" t="s">
        <v>930</v>
      </c>
      <c r="B106" t="s">
        <v>290</v>
      </c>
      <c r="C106" t="str">
        <f>IF(SessionMovements[[#This Row],[MovementID]]="","",
   _xlfn.XLOOKUP(SessionMovements[[#This Row],[MovementID]],MovementLibrary[MovementID],MovementLibrary[Name],"")
)</f>
        <v>Push Jerk</v>
      </c>
      <c r="D106" s="5" t="str">
        <f>IF(SessionMovements[[#This Row],[MovementID]]="","",
   _xlfn.XLOOKUP(SessionMovements[[#This Row],[MovementID]], MovementLibrary[MovementID], MovementLibrary[Modality], "")
)</f>
        <v>Barbell</v>
      </c>
      <c r="E106" s="5" t="str">
        <f>IF(SessionMovements[[#This Row],[MovementID]]="","",
   _xlfn.XLOOKUP(SessionMovements[[#This Row],[MovementID]], MovementLibrary[MovementID], MovementLibrary[Unit], "")
)</f>
        <v>kg</v>
      </c>
      <c r="F1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">
        <v>6</v>
      </c>
      <c r="H106">
        <v>3</v>
      </c>
      <c r="L106" s="5" t="str">
        <f>IF(COUNTIF(Sessions[SessionID],SessionMovements[[#This Row],[SessionID]])=0,"❌ Missing","✔ OK")</f>
        <v>✔ OK</v>
      </c>
    </row>
    <row r="107" spans="1:12" x14ac:dyDescent="0.3">
      <c r="A107" t="s">
        <v>930</v>
      </c>
      <c r="B107" t="s">
        <v>262</v>
      </c>
      <c r="C107" t="str">
        <f>IF(SessionMovements[[#This Row],[MovementID]]="","",
   _xlfn.XLOOKUP(SessionMovements[[#This Row],[MovementID]],MovementLibrary[MovementID],MovementLibrary[Name],"")
)</f>
        <v>Strict Press</v>
      </c>
      <c r="D107" s="5" t="str">
        <f>IF(SessionMovements[[#This Row],[MovementID]]="","",
   _xlfn.XLOOKUP(SessionMovements[[#This Row],[MovementID]], MovementLibrary[MovementID], MovementLibrary[Modality], "")
)</f>
        <v>Barbell</v>
      </c>
      <c r="E107" s="5" t="str">
        <f>IF(SessionMovements[[#This Row],[MovementID]]="","",
   _xlfn.XLOOKUP(SessionMovements[[#This Row],[MovementID]], MovementLibrary[MovementID], MovementLibrary[Unit], "")
)</f>
        <v>kg</v>
      </c>
      <c r="F1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">
        <v>5</v>
      </c>
      <c r="H107">
        <v>6</v>
      </c>
      <c r="L107" s="5" t="str">
        <f>IF(COUNTIF(Sessions[SessionID],SessionMovements[[#This Row],[SessionID]])=0,"❌ Missing","✔ OK")</f>
        <v>✔ OK</v>
      </c>
    </row>
    <row r="108" spans="1:12" x14ac:dyDescent="0.3">
      <c r="A108" t="s">
        <v>931</v>
      </c>
      <c r="B108" t="s">
        <v>665</v>
      </c>
      <c r="C108" t="str">
        <f>IF(SessionMovements[[#This Row],[MovementID]]="","",
   _xlfn.XLOOKUP(SessionMovements[[#This Row],[MovementID]],MovementLibrary[MovementID],MovementLibrary[Name],"")
)</f>
        <v>Hang Clean (knee) + Jerk (Complex)</v>
      </c>
      <c r="D108" s="5" t="str">
        <f>IF(SessionMovements[[#This Row],[MovementID]]="","",
   _xlfn.XLOOKUP(SessionMovements[[#This Row],[MovementID]], MovementLibrary[MovementID], MovementLibrary[Modality], "")
)</f>
        <v>Barbell</v>
      </c>
      <c r="E108" s="5" t="str">
        <f>IF(SessionMovements[[#This Row],[MovementID]]="","",
   _xlfn.XLOOKUP(SessionMovements[[#This Row],[MovementID]], MovementLibrary[MovementID], MovementLibrary[Unit], "")
)</f>
        <v>kg</v>
      </c>
      <c r="F1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">
        <v>6</v>
      </c>
      <c r="H108" t="s">
        <v>926</v>
      </c>
      <c r="K108" t="s">
        <v>927</v>
      </c>
      <c r="L108" s="5" t="str">
        <f>IF(COUNTIF(Sessions[SessionID],SessionMovements[[#This Row],[SessionID]])=0,"❌ Missing","✔ OK")</f>
        <v>✔ OK</v>
      </c>
    </row>
    <row r="109" spans="1:12" x14ac:dyDescent="0.3">
      <c r="A109" t="s">
        <v>931</v>
      </c>
      <c r="B109" t="s">
        <v>298</v>
      </c>
      <c r="C109" t="str">
        <f>IF(SessionMovements[[#This Row],[MovementID]]="","",
   _xlfn.XLOOKUP(SessionMovements[[#This Row],[MovementID]],MovementLibrary[MovementID],MovementLibrary[Name],"")
)</f>
        <v>Back Squat</v>
      </c>
      <c r="D109" s="5" t="str">
        <f>IF(SessionMovements[[#This Row],[MovementID]]="","",
   _xlfn.XLOOKUP(SessionMovements[[#This Row],[MovementID]], MovementLibrary[MovementID], MovementLibrary[Modality], "")
)</f>
        <v>Barbell</v>
      </c>
      <c r="E109" s="5" t="str">
        <f>IF(SessionMovements[[#This Row],[MovementID]]="","",
   _xlfn.XLOOKUP(SessionMovements[[#This Row],[MovementID]], MovementLibrary[MovementID], MovementLibrary[Unit], "")
)</f>
        <v>kg</v>
      </c>
      <c r="F1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">
        <v>5</v>
      </c>
      <c r="H109">
        <v>5</v>
      </c>
      <c r="L109" s="5" t="str">
        <f>IF(COUNTIF(Sessions[SessionID],SessionMovements[[#This Row],[SessionID]])=0,"❌ Missing","✔ OK")</f>
        <v>✔ OK</v>
      </c>
    </row>
    <row r="110" spans="1:12" x14ac:dyDescent="0.3">
      <c r="A110" t="s">
        <v>932</v>
      </c>
      <c r="B110" t="s">
        <v>668</v>
      </c>
      <c r="C110" t="str">
        <f>IF(SessionMovements[[#This Row],[MovementID]]="","",
   _xlfn.XLOOKUP(SessionMovements[[#This Row],[MovementID]],MovementLibrary[MovementID],MovementLibrary[Name],"")
)</f>
        <v>Power Snatch + OHS (Complex)</v>
      </c>
      <c r="D110" s="5" t="str">
        <f>IF(SessionMovements[[#This Row],[MovementID]]="","",
   _xlfn.XLOOKUP(SessionMovements[[#This Row],[MovementID]], MovementLibrary[MovementID], MovementLibrary[Modality], "")
)</f>
        <v>Barbell</v>
      </c>
      <c r="E110" s="5" t="str">
        <f>IF(SessionMovements[[#This Row],[MovementID]]="","",
   _xlfn.XLOOKUP(SessionMovements[[#This Row],[MovementID]], MovementLibrary[MovementID], MovementLibrary[Unit], "")
)</f>
        <v>kg</v>
      </c>
      <c r="F1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">
        <v>6</v>
      </c>
      <c r="H110" t="s">
        <v>924</v>
      </c>
      <c r="L110" s="5" t="str">
        <f>IF(COUNTIF(Sessions[SessionID],SessionMovements[[#This Row],[SessionID]])=0,"❌ Missing","✔ OK")</f>
        <v>✔ OK</v>
      </c>
    </row>
    <row r="111" spans="1:12" x14ac:dyDescent="0.3">
      <c r="A111" t="s">
        <v>932</v>
      </c>
      <c r="B111" t="s">
        <v>659</v>
      </c>
      <c r="C111" t="str">
        <f>IF(SessionMovements[[#This Row],[MovementID]]="","",
   _xlfn.XLOOKUP(SessionMovements[[#This Row],[MovementID]],MovementLibrary[MovementID],MovementLibrary[Name],"")
)</f>
        <v>Snatch High Pull</v>
      </c>
      <c r="D111" s="5" t="str">
        <f>IF(SessionMovements[[#This Row],[MovementID]]="","",
   _xlfn.XLOOKUP(SessionMovements[[#This Row],[MovementID]], MovementLibrary[MovementID], MovementLibrary[Modality], "")
)</f>
        <v>Barbell</v>
      </c>
      <c r="E111" s="5" t="str">
        <f>IF(SessionMovements[[#This Row],[MovementID]]="","",
   _xlfn.XLOOKUP(SessionMovements[[#This Row],[MovementID]], MovementLibrary[MovementID], MovementLibrary[Unit], "")
)</f>
        <v>kg</v>
      </c>
      <c r="F1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">
        <v>5</v>
      </c>
      <c r="H111">
        <v>5</v>
      </c>
      <c r="L111" s="5" t="str">
        <f>IF(COUNTIF(Sessions[SessionID],SessionMovements[[#This Row],[SessionID]])=0,"❌ Missing","✔ OK")</f>
        <v>✔ OK</v>
      </c>
    </row>
    <row r="112" spans="1:12" x14ac:dyDescent="0.3">
      <c r="A112" t="s">
        <v>932</v>
      </c>
      <c r="B112" t="s">
        <v>296</v>
      </c>
      <c r="C112" t="str">
        <f>IF(SessionMovements[[#This Row],[MovementID]]="","",
   _xlfn.XLOOKUP(SessionMovements[[#This Row],[MovementID]],MovementLibrary[MovementID],MovementLibrary[Name],"")
)</f>
        <v>Front Squat</v>
      </c>
      <c r="D112" s="5" t="str">
        <f>IF(SessionMovements[[#This Row],[MovementID]]="","",
   _xlfn.XLOOKUP(SessionMovements[[#This Row],[MovementID]], MovementLibrary[MovementID], MovementLibrary[Modality], "")
)</f>
        <v>Barbell</v>
      </c>
      <c r="E112" s="5" t="str">
        <f>IF(SessionMovements[[#This Row],[MovementID]]="","",
   _xlfn.XLOOKUP(SessionMovements[[#This Row],[MovementID]], MovementLibrary[MovementID], MovementLibrary[Unit], "")
)</f>
        <v>kg</v>
      </c>
      <c r="F1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">
        <v>5</v>
      </c>
      <c r="H112">
        <v>4</v>
      </c>
      <c r="L112" s="5" t="str">
        <f>IF(COUNTIF(Sessions[SessionID],SessionMovements[[#This Row],[SessionID]])=0,"❌ Missing","✔ OK")</f>
        <v>✔ OK</v>
      </c>
    </row>
    <row r="113" spans="1:12" x14ac:dyDescent="0.3">
      <c r="A113" t="s">
        <v>932</v>
      </c>
      <c r="B113" t="s">
        <v>671</v>
      </c>
      <c r="C113" t="str">
        <f>IF(SessionMovements[[#This Row],[MovementID]]="","",
   _xlfn.XLOOKUP(SessionMovements[[#This Row],[MovementID]],MovementLibrary[MovementID],MovementLibrary[Name],"")
)</f>
        <v>Snatch Press (Behind-the-neck)</v>
      </c>
      <c r="D113" s="5" t="str">
        <f>IF(SessionMovements[[#This Row],[MovementID]]="","",
   _xlfn.XLOOKUP(SessionMovements[[#This Row],[MovementID]], MovementLibrary[MovementID], MovementLibrary[Modality], "")
)</f>
        <v>Barbell</v>
      </c>
      <c r="E113" s="5" t="str">
        <f>IF(SessionMovements[[#This Row],[MovementID]]="","",
   _xlfn.XLOOKUP(SessionMovements[[#This Row],[MovementID]], MovementLibrary[MovementID], MovementLibrary[Unit], "")
)</f>
        <v>kg</v>
      </c>
      <c r="F1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">
        <v>5</v>
      </c>
      <c r="H113">
        <v>6</v>
      </c>
      <c r="K113" t="s">
        <v>921</v>
      </c>
      <c r="L113" s="5" t="str">
        <f>IF(COUNTIF(Sessions[SessionID],SessionMovements[[#This Row],[SessionID]])=0,"❌ Missing","✔ OK")</f>
        <v>✔ OK</v>
      </c>
    </row>
    <row r="114" spans="1:12" x14ac:dyDescent="0.3">
      <c r="A114" t="s">
        <v>933</v>
      </c>
      <c r="B114" t="s">
        <v>276</v>
      </c>
      <c r="C114" t="str">
        <f>IF(SessionMovements[[#This Row],[MovementID]]="","",
   _xlfn.XLOOKUP(SessionMovements[[#This Row],[MovementID]],MovementLibrary[MovementID],MovementLibrary[Name],"")
)</f>
        <v>Hang Snatch</v>
      </c>
      <c r="D114" s="5" t="str">
        <f>IF(SessionMovements[[#This Row],[MovementID]]="","",
   _xlfn.XLOOKUP(SessionMovements[[#This Row],[MovementID]], MovementLibrary[MovementID], MovementLibrary[Modality], "")
)</f>
        <v>Barbell</v>
      </c>
      <c r="E114" s="5" t="str">
        <f>IF(SessionMovements[[#This Row],[MovementID]]="","",
   _xlfn.XLOOKUP(SessionMovements[[#This Row],[MovementID]], MovementLibrary[MovementID], MovementLibrary[Unit], "")
)</f>
        <v>kg</v>
      </c>
      <c r="F1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4">
        <v>6</v>
      </c>
      <c r="H114">
        <v>3</v>
      </c>
      <c r="K114" t="s">
        <v>922</v>
      </c>
      <c r="L114" s="5" t="str">
        <f>IF(COUNTIF(Sessions[SessionID],SessionMovements[[#This Row],[SessionID]])=0,"❌ Missing","✔ OK")</f>
        <v>✔ OK</v>
      </c>
    </row>
    <row r="115" spans="1:12" x14ac:dyDescent="0.3">
      <c r="A115" t="s">
        <v>933</v>
      </c>
      <c r="B115" t="s">
        <v>651</v>
      </c>
      <c r="C115" t="str">
        <f>IF(SessionMovements[[#This Row],[MovementID]]="","",
   _xlfn.XLOOKUP(SessionMovements[[#This Row],[MovementID]],MovementLibrary[MovementID],MovementLibrary[Name],"")
)</f>
        <v>Segmented Snatch Deadlift (1" + knee)</v>
      </c>
      <c r="D115" s="5" t="str">
        <f>IF(SessionMovements[[#This Row],[MovementID]]="","",
   _xlfn.XLOOKUP(SessionMovements[[#This Row],[MovementID]], MovementLibrary[MovementID], MovementLibrary[Modality], "")
)</f>
        <v>Barbell</v>
      </c>
      <c r="E115" s="5" t="str">
        <f>IF(SessionMovements[[#This Row],[MovementID]]="","",
   _xlfn.XLOOKUP(SessionMovements[[#This Row],[MovementID]], MovementLibrary[MovementID], MovementLibrary[Unit], "")
)</f>
        <v>kg</v>
      </c>
      <c r="F1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5">
        <v>5</v>
      </c>
      <c r="H115">
        <v>3</v>
      </c>
      <c r="L115" s="5" t="str">
        <f>IF(COUNTIF(Sessions[SessionID],SessionMovements[[#This Row],[SessionID]])=0,"❌ Missing","✔ OK")</f>
        <v>✔ OK</v>
      </c>
    </row>
    <row r="116" spans="1:12" x14ac:dyDescent="0.3">
      <c r="A116" t="s">
        <v>933</v>
      </c>
      <c r="B116" t="s">
        <v>258</v>
      </c>
      <c r="C116" t="str">
        <f>IF(SessionMovements[[#This Row],[MovementID]]="","",
   _xlfn.XLOOKUP(SessionMovements[[#This Row],[MovementID]],MovementLibrary[MovementID],MovementLibrary[Name],"")
)</f>
        <v>Overhead Squat</v>
      </c>
      <c r="D116" s="5" t="str">
        <f>IF(SessionMovements[[#This Row],[MovementID]]="","",
   _xlfn.XLOOKUP(SessionMovements[[#This Row],[MovementID]], MovementLibrary[MovementID], MovementLibrary[Modality], "")
)</f>
        <v>Barbell</v>
      </c>
      <c r="E116" s="5" t="str">
        <f>IF(SessionMovements[[#This Row],[MovementID]]="","",
   _xlfn.XLOOKUP(SessionMovements[[#This Row],[MovementID]], MovementLibrary[MovementID], MovementLibrary[Unit], "")
)</f>
        <v>kg</v>
      </c>
      <c r="F1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6">
        <v>5</v>
      </c>
      <c r="H116">
        <v>3</v>
      </c>
      <c r="L116" s="5" t="str">
        <f>IF(COUNTIF(Sessions[SessionID],SessionMovements[[#This Row],[SessionID]])=0,"❌ Missing","✔ OK")</f>
        <v>✔ OK</v>
      </c>
    </row>
    <row r="117" spans="1:12" x14ac:dyDescent="0.3">
      <c r="A117" t="s">
        <v>933</v>
      </c>
      <c r="B117" t="s">
        <v>298</v>
      </c>
      <c r="C117" t="str">
        <f>IF(SessionMovements[[#This Row],[MovementID]]="","",
   _xlfn.XLOOKUP(SessionMovements[[#This Row],[MovementID]],MovementLibrary[MovementID],MovementLibrary[Name],"")
)</f>
        <v>Back Squat</v>
      </c>
      <c r="D117" s="5" t="str">
        <f>IF(SessionMovements[[#This Row],[MovementID]]="","",
   _xlfn.XLOOKUP(SessionMovements[[#This Row],[MovementID]], MovementLibrary[MovementID], MovementLibrary[Modality], "")
)</f>
        <v>Barbell</v>
      </c>
      <c r="E117" s="5" t="str">
        <f>IF(SessionMovements[[#This Row],[MovementID]]="","",
   _xlfn.XLOOKUP(SessionMovements[[#This Row],[MovementID]], MovementLibrary[MovementID], MovementLibrary[Unit], "")
)</f>
        <v>kg</v>
      </c>
      <c r="F1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7">
        <v>4</v>
      </c>
      <c r="H117">
        <v>8</v>
      </c>
      <c r="L117" s="5" t="str">
        <f>IF(COUNTIF(Sessions[SessionID],SessionMovements[[#This Row],[SessionID]])=0,"❌ Missing","✔ OK")</f>
        <v>✔ OK</v>
      </c>
    </row>
    <row r="118" spans="1:12" x14ac:dyDescent="0.3">
      <c r="A118" t="s">
        <v>934</v>
      </c>
      <c r="B118" t="s">
        <v>662</v>
      </c>
      <c r="C118" t="str">
        <f>IF(SessionMovements[[#This Row],[MovementID]]="","",
   _xlfn.XLOOKUP(SessionMovements[[#This Row],[MovementID]],MovementLibrary[MovementID],MovementLibrary[Name],"")
)</f>
        <v>Power Clean + Front Squat (Complex)</v>
      </c>
      <c r="D118" s="5" t="str">
        <f>IF(SessionMovements[[#This Row],[MovementID]]="","",
   _xlfn.XLOOKUP(SessionMovements[[#This Row],[MovementID]], MovementLibrary[MovementID], MovementLibrary[Modality], "")
)</f>
        <v>Barbell</v>
      </c>
      <c r="E118" s="5" t="str">
        <f>IF(SessionMovements[[#This Row],[MovementID]]="","",
   _xlfn.XLOOKUP(SessionMovements[[#This Row],[MovementID]], MovementLibrary[MovementID], MovementLibrary[Unit], "")
)</f>
        <v>kg</v>
      </c>
      <c r="F1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8">
        <v>6</v>
      </c>
      <c r="H118" t="s">
        <v>924</v>
      </c>
      <c r="L118" s="5" t="str">
        <f>IF(COUNTIF(Sessions[SessionID],SessionMovements[[#This Row],[SessionID]])=0,"❌ Missing","✔ OK")</f>
        <v>✔ OK</v>
      </c>
    </row>
    <row r="119" spans="1:12" x14ac:dyDescent="0.3">
      <c r="A119" t="s">
        <v>934</v>
      </c>
      <c r="B119" t="s">
        <v>656</v>
      </c>
      <c r="C119" t="str">
        <f>IF(SessionMovements[[#This Row],[MovementID]]="","",
   _xlfn.XLOOKUP(SessionMovements[[#This Row],[MovementID]],MovementLibrary[MovementID],MovementLibrary[Name],"")
)</f>
        <v>Clean High Pull</v>
      </c>
      <c r="D119" s="5" t="str">
        <f>IF(SessionMovements[[#This Row],[MovementID]]="","",
   _xlfn.XLOOKUP(SessionMovements[[#This Row],[MovementID]], MovementLibrary[MovementID], MovementLibrary[Modality], "")
)</f>
        <v>Barbell</v>
      </c>
      <c r="E119" s="5" t="str">
        <f>IF(SessionMovements[[#This Row],[MovementID]]="","",
   _xlfn.XLOOKUP(SessionMovements[[#This Row],[MovementID]], MovementLibrary[MovementID], MovementLibrary[Unit], "")
)</f>
        <v>kg</v>
      </c>
      <c r="F1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9">
        <v>5</v>
      </c>
      <c r="H119">
        <v>5</v>
      </c>
      <c r="L119" s="5" t="str">
        <f>IF(COUNTIF(Sessions[SessionID],SessionMovements[[#This Row],[SessionID]])=0,"❌ Missing","✔ OK")</f>
        <v>✔ OK</v>
      </c>
    </row>
    <row r="120" spans="1:12" x14ac:dyDescent="0.3">
      <c r="A120" t="s">
        <v>934</v>
      </c>
      <c r="B120" t="s">
        <v>290</v>
      </c>
      <c r="C120" t="str">
        <f>IF(SessionMovements[[#This Row],[MovementID]]="","",
   _xlfn.XLOOKUP(SessionMovements[[#This Row],[MovementID]],MovementLibrary[MovementID],MovementLibrary[Name],"")
)</f>
        <v>Push Jerk</v>
      </c>
      <c r="D120" s="5" t="str">
        <f>IF(SessionMovements[[#This Row],[MovementID]]="","",
   _xlfn.XLOOKUP(SessionMovements[[#This Row],[MovementID]], MovementLibrary[MovementID], MovementLibrary[Modality], "")
)</f>
        <v>Barbell</v>
      </c>
      <c r="E120" s="5" t="str">
        <f>IF(SessionMovements[[#This Row],[MovementID]]="","",
   _xlfn.XLOOKUP(SessionMovements[[#This Row],[MovementID]], MovementLibrary[MovementID], MovementLibrary[Unit], "")
)</f>
        <v>kg</v>
      </c>
      <c r="F1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0">
        <v>6</v>
      </c>
      <c r="H120">
        <v>3</v>
      </c>
      <c r="L120" s="5" t="str">
        <f>IF(COUNTIF(Sessions[SessionID],SessionMovements[[#This Row],[SessionID]])=0,"❌ Missing","✔ OK")</f>
        <v>✔ OK</v>
      </c>
    </row>
    <row r="121" spans="1:12" x14ac:dyDescent="0.3">
      <c r="A121" t="s">
        <v>934</v>
      </c>
      <c r="B121" t="s">
        <v>262</v>
      </c>
      <c r="C121" t="str">
        <f>IF(SessionMovements[[#This Row],[MovementID]]="","",
   _xlfn.XLOOKUP(SessionMovements[[#This Row],[MovementID]],MovementLibrary[MovementID],MovementLibrary[Name],"")
)</f>
        <v>Strict Press</v>
      </c>
      <c r="D121" s="5" t="str">
        <f>IF(SessionMovements[[#This Row],[MovementID]]="","",
   _xlfn.XLOOKUP(SessionMovements[[#This Row],[MovementID]], MovementLibrary[MovementID], MovementLibrary[Modality], "")
)</f>
        <v>Barbell</v>
      </c>
      <c r="E121" s="5" t="str">
        <f>IF(SessionMovements[[#This Row],[MovementID]]="","",
   _xlfn.XLOOKUP(SessionMovements[[#This Row],[MovementID]], MovementLibrary[MovementID], MovementLibrary[Unit], "")
)</f>
        <v>kg</v>
      </c>
      <c r="F1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1">
        <v>5</v>
      </c>
      <c r="H121">
        <v>6</v>
      </c>
      <c r="K121" t="s">
        <v>927</v>
      </c>
      <c r="L121" s="5" t="str">
        <f>IF(COUNTIF(Sessions[SessionID],SessionMovements[[#This Row],[SessionID]])=0,"❌ Missing","✔ OK")</f>
        <v>✔ OK</v>
      </c>
    </row>
    <row r="122" spans="1:12" x14ac:dyDescent="0.3">
      <c r="A122" t="s">
        <v>935</v>
      </c>
      <c r="B122" t="s">
        <v>665</v>
      </c>
      <c r="C122" t="str">
        <f>IF(SessionMovements[[#This Row],[MovementID]]="","",
   _xlfn.XLOOKUP(SessionMovements[[#This Row],[MovementID]],MovementLibrary[MovementID],MovementLibrary[Name],"")
)</f>
        <v>Hang Clean (knee) + Jerk (Complex)</v>
      </c>
      <c r="D122" s="5" t="str">
        <f>IF(SessionMovements[[#This Row],[MovementID]]="","",
   _xlfn.XLOOKUP(SessionMovements[[#This Row],[MovementID]], MovementLibrary[MovementID], MovementLibrary[Modality], "")
)</f>
        <v>Barbell</v>
      </c>
      <c r="E122" s="5" t="str">
        <f>IF(SessionMovements[[#This Row],[MovementID]]="","",
   _xlfn.XLOOKUP(SessionMovements[[#This Row],[MovementID]], MovementLibrary[MovementID], MovementLibrary[Unit], "")
)</f>
        <v>kg</v>
      </c>
      <c r="F1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2">
        <v>6</v>
      </c>
      <c r="H122" t="s">
        <v>926</v>
      </c>
      <c r="L122" s="5" t="str">
        <f>IF(COUNTIF(Sessions[SessionID],SessionMovements[[#This Row],[SessionID]])=0,"❌ Missing","✔ OK")</f>
        <v>✔ OK</v>
      </c>
    </row>
    <row r="123" spans="1:12" x14ac:dyDescent="0.3">
      <c r="A123" t="s">
        <v>935</v>
      </c>
      <c r="B123" t="s">
        <v>678</v>
      </c>
      <c r="C123" t="str">
        <f>IF(SessionMovements[[#This Row],[MovementID]]="","",
   _xlfn.XLOOKUP(SessionMovements[[#This Row],[MovementID]],MovementLibrary[MovementID],MovementLibrary[Name],"")
)</f>
        <v>Segmented Clean Deadlift (1" + knee)</v>
      </c>
      <c r="D123" s="5" t="str">
        <f>IF(SessionMovements[[#This Row],[MovementID]]="","",
   _xlfn.XLOOKUP(SessionMovements[[#This Row],[MovementID]], MovementLibrary[MovementID], MovementLibrary[Modality], "")
)</f>
        <v>Barbell</v>
      </c>
      <c r="E123" s="5" t="str">
        <f>IF(SessionMovements[[#This Row],[MovementID]]="","",
   _xlfn.XLOOKUP(SessionMovements[[#This Row],[MovementID]], MovementLibrary[MovementID], MovementLibrary[Unit], "")
)</f>
        <v>kg</v>
      </c>
      <c r="F1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3">
        <v>5</v>
      </c>
      <c r="H123">
        <v>5</v>
      </c>
      <c r="L123" s="5" t="str">
        <f>IF(COUNTIF(Sessions[SessionID],SessionMovements[[#This Row],[SessionID]])=0,"❌ Missing","✔ OK")</f>
        <v>✔ OK</v>
      </c>
    </row>
    <row r="124" spans="1:12" x14ac:dyDescent="0.3">
      <c r="A124" t="s">
        <v>935</v>
      </c>
      <c r="B124" t="s">
        <v>298</v>
      </c>
      <c r="C124" t="str">
        <f>IF(SessionMovements[[#This Row],[MovementID]]="","",
   _xlfn.XLOOKUP(SessionMovements[[#This Row],[MovementID]],MovementLibrary[MovementID],MovementLibrary[Name],"")
)</f>
        <v>Back Squat</v>
      </c>
      <c r="D124" s="5" t="str">
        <f>IF(SessionMovements[[#This Row],[MovementID]]="","",
   _xlfn.XLOOKUP(SessionMovements[[#This Row],[MovementID]], MovementLibrary[MovementID], MovementLibrary[Modality], "")
)</f>
        <v>Barbell</v>
      </c>
      <c r="E124" s="5" t="str">
        <f>IF(SessionMovements[[#This Row],[MovementID]]="","",
   _xlfn.XLOOKUP(SessionMovements[[#This Row],[MovementID]], MovementLibrary[MovementID], MovementLibrary[Unit], "")
)</f>
        <v>kg</v>
      </c>
      <c r="F1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4">
        <v>5</v>
      </c>
      <c r="H124">
        <v>5</v>
      </c>
      <c r="L124" s="5" t="str">
        <f>IF(COUNTIF(Sessions[SessionID],SessionMovements[[#This Row],[SessionID]])=0,"❌ Missing","✔ OK")</f>
        <v>✔ OK</v>
      </c>
    </row>
    <row r="125" spans="1:12" x14ac:dyDescent="0.3">
      <c r="A125" t="s">
        <v>936</v>
      </c>
      <c r="B125" t="s">
        <v>668</v>
      </c>
      <c r="C125" t="str">
        <f>IF(SessionMovements[[#This Row],[MovementID]]="","",
   _xlfn.XLOOKUP(SessionMovements[[#This Row],[MovementID]],MovementLibrary[MovementID],MovementLibrary[Name],"")
)</f>
        <v>Power Snatch + OHS (Complex)</v>
      </c>
      <c r="D125" s="5" t="str">
        <f>IF(SessionMovements[[#This Row],[MovementID]]="","",
   _xlfn.XLOOKUP(SessionMovements[[#This Row],[MovementID]], MovementLibrary[MovementID], MovementLibrary[Modality], "")
)</f>
        <v>Barbell</v>
      </c>
      <c r="E125" s="5" t="str">
        <f>IF(SessionMovements[[#This Row],[MovementID]]="","",
   _xlfn.XLOOKUP(SessionMovements[[#This Row],[MovementID]], MovementLibrary[MovementID], MovementLibrary[Unit], "")
)</f>
        <v>kg</v>
      </c>
      <c r="F1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5">
        <v>6</v>
      </c>
      <c r="H125" t="s">
        <v>924</v>
      </c>
      <c r="L125" s="5" t="str">
        <f>IF(COUNTIF(Sessions[SessionID],SessionMovements[[#This Row],[SessionID]])=0,"❌ Missing","✔ OK")</f>
        <v>✔ OK</v>
      </c>
    </row>
    <row r="126" spans="1:12" x14ac:dyDescent="0.3">
      <c r="A126" t="s">
        <v>936</v>
      </c>
      <c r="B126" t="s">
        <v>659</v>
      </c>
      <c r="C126" t="str">
        <f>IF(SessionMovements[[#This Row],[MovementID]]="","",
   _xlfn.XLOOKUP(SessionMovements[[#This Row],[MovementID]],MovementLibrary[MovementID],MovementLibrary[Name],"")
)</f>
        <v>Snatch High Pull</v>
      </c>
      <c r="D126" s="5" t="str">
        <f>IF(SessionMovements[[#This Row],[MovementID]]="","",
   _xlfn.XLOOKUP(SessionMovements[[#This Row],[MovementID]], MovementLibrary[MovementID], MovementLibrary[Modality], "")
)</f>
        <v>Barbell</v>
      </c>
      <c r="E126" s="5" t="str">
        <f>IF(SessionMovements[[#This Row],[MovementID]]="","",
   _xlfn.XLOOKUP(SessionMovements[[#This Row],[MovementID]], MovementLibrary[MovementID], MovementLibrary[Unit], "")
)</f>
        <v>kg</v>
      </c>
      <c r="F1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6">
        <v>5</v>
      </c>
      <c r="H126">
        <v>5</v>
      </c>
      <c r="L126" s="5" t="str">
        <f>IF(COUNTIF(Sessions[SessionID],SessionMovements[[#This Row],[SessionID]])=0,"❌ Missing","✔ OK")</f>
        <v>✔ OK</v>
      </c>
    </row>
    <row r="127" spans="1:12" x14ac:dyDescent="0.3">
      <c r="A127" t="s">
        <v>936</v>
      </c>
      <c r="B127" t="s">
        <v>296</v>
      </c>
      <c r="C127" t="str">
        <f>IF(SessionMovements[[#This Row],[MovementID]]="","",
   _xlfn.XLOOKUP(SessionMovements[[#This Row],[MovementID]],MovementLibrary[MovementID],MovementLibrary[Name],"")
)</f>
        <v>Front Squat</v>
      </c>
      <c r="D127" s="5" t="str">
        <f>IF(SessionMovements[[#This Row],[MovementID]]="","",
   _xlfn.XLOOKUP(SessionMovements[[#This Row],[MovementID]], MovementLibrary[MovementID], MovementLibrary[Modality], "")
)</f>
        <v>Barbell</v>
      </c>
      <c r="E127" s="5" t="str">
        <f>IF(SessionMovements[[#This Row],[MovementID]]="","",
   _xlfn.XLOOKUP(SessionMovements[[#This Row],[MovementID]], MovementLibrary[MovementID], MovementLibrary[Unit], "")
)</f>
        <v>kg</v>
      </c>
      <c r="F1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7">
        <v>5</v>
      </c>
      <c r="H127">
        <v>4</v>
      </c>
      <c r="L127" s="5" t="str">
        <f>IF(COUNTIF(Sessions[SessionID],SessionMovements[[#This Row],[SessionID]])=0,"❌ Missing","✔ OK")</f>
        <v>✔ OK</v>
      </c>
    </row>
    <row r="128" spans="1:12" x14ac:dyDescent="0.3">
      <c r="A128" t="s">
        <v>936</v>
      </c>
      <c r="B128" t="s">
        <v>671</v>
      </c>
      <c r="C128" t="str">
        <f>IF(SessionMovements[[#This Row],[MovementID]]="","",
   _xlfn.XLOOKUP(SessionMovements[[#This Row],[MovementID]],MovementLibrary[MovementID],MovementLibrary[Name],"")
)</f>
        <v>Snatch Press (Behind-the-neck)</v>
      </c>
      <c r="D128" s="5" t="str">
        <f>IF(SessionMovements[[#This Row],[MovementID]]="","",
   _xlfn.XLOOKUP(SessionMovements[[#This Row],[MovementID]], MovementLibrary[MovementID], MovementLibrary[Modality], "")
)</f>
        <v>Barbell</v>
      </c>
      <c r="E128" s="5" t="str">
        <f>IF(SessionMovements[[#This Row],[MovementID]]="","",
   _xlfn.XLOOKUP(SessionMovements[[#This Row],[MovementID]], MovementLibrary[MovementID], MovementLibrary[Unit], "")
)</f>
        <v>kg</v>
      </c>
      <c r="F1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8">
        <v>5</v>
      </c>
      <c r="H128">
        <v>6</v>
      </c>
      <c r="L128" s="5" t="str">
        <f>IF(COUNTIF(Sessions[SessionID],SessionMovements[[#This Row],[SessionID]])=0,"❌ Missing","✔ OK")</f>
        <v>✔ OK</v>
      </c>
    </row>
    <row r="129" spans="1:12" x14ac:dyDescent="0.3">
      <c r="A129" t="s">
        <v>937</v>
      </c>
      <c r="B129" t="s">
        <v>276</v>
      </c>
      <c r="C129" t="str">
        <f>IF(SessionMovements[[#This Row],[MovementID]]="","",
   _xlfn.XLOOKUP(SessionMovements[[#This Row],[MovementID]],MovementLibrary[MovementID],MovementLibrary[Name],"")
)</f>
        <v>Hang Snatch</v>
      </c>
      <c r="D129" s="5" t="str">
        <f>IF(SessionMovements[[#This Row],[MovementID]]="","",
   _xlfn.XLOOKUP(SessionMovements[[#This Row],[MovementID]], MovementLibrary[MovementID], MovementLibrary[Modality], "")
)</f>
        <v>Barbell</v>
      </c>
      <c r="E129" s="5" t="str">
        <f>IF(SessionMovements[[#This Row],[MovementID]]="","",
   _xlfn.XLOOKUP(SessionMovements[[#This Row],[MovementID]], MovementLibrary[MovementID], MovementLibrary[Unit], "")
)</f>
        <v>kg</v>
      </c>
      <c r="F1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29">
        <v>6</v>
      </c>
      <c r="H129">
        <v>3</v>
      </c>
      <c r="K129" t="s">
        <v>921</v>
      </c>
      <c r="L129" s="5" t="str">
        <f>IF(COUNTIF(Sessions[SessionID],SessionMovements[[#This Row],[SessionID]])=0,"❌ Missing","✔ OK")</f>
        <v>✔ OK</v>
      </c>
    </row>
    <row r="130" spans="1:12" x14ac:dyDescent="0.3">
      <c r="A130" t="s">
        <v>937</v>
      </c>
      <c r="B130" t="s">
        <v>651</v>
      </c>
      <c r="C130" t="str">
        <f>IF(SessionMovements[[#This Row],[MovementID]]="","",
   _xlfn.XLOOKUP(SessionMovements[[#This Row],[MovementID]],MovementLibrary[MovementID],MovementLibrary[Name],"")
)</f>
        <v>Segmented Snatch Deadlift (1" + knee)</v>
      </c>
      <c r="D130" s="5" t="str">
        <f>IF(SessionMovements[[#This Row],[MovementID]]="","",
   _xlfn.XLOOKUP(SessionMovements[[#This Row],[MovementID]], MovementLibrary[MovementID], MovementLibrary[Modality], "")
)</f>
        <v>Barbell</v>
      </c>
      <c r="E130" s="5" t="str">
        <f>IF(SessionMovements[[#This Row],[MovementID]]="","",
   _xlfn.XLOOKUP(SessionMovements[[#This Row],[MovementID]], MovementLibrary[MovementID], MovementLibrary[Unit], "")
)</f>
        <v>kg</v>
      </c>
      <c r="F1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0">
        <v>5</v>
      </c>
      <c r="H130">
        <v>3</v>
      </c>
      <c r="K130" t="s">
        <v>922</v>
      </c>
      <c r="L130" s="5" t="str">
        <f>IF(COUNTIF(Sessions[SessionID],SessionMovements[[#This Row],[SessionID]])=0,"❌ Missing","✔ OK")</f>
        <v>✔ OK</v>
      </c>
    </row>
    <row r="131" spans="1:12" x14ac:dyDescent="0.3">
      <c r="A131" t="s">
        <v>937</v>
      </c>
      <c r="B131" t="s">
        <v>258</v>
      </c>
      <c r="C131" t="str">
        <f>IF(SessionMovements[[#This Row],[MovementID]]="","",
   _xlfn.XLOOKUP(SessionMovements[[#This Row],[MovementID]],MovementLibrary[MovementID],MovementLibrary[Name],"")
)</f>
        <v>Overhead Squat</v>
      </c>
      <c r="D131" s="5" t="str">
        <f>IF(SessionMovements[[#This Row],[MovementID]]="","",
   _xlfn.XLOOKUP(SessionMovements[[#This Row],[MovementID]], MovementLibrary[MovementID], MovementLibrary[Modality], "")
)</f>
        <v>Barbell</v>
      </c>
      <c r="E131" s="5" t="str">
        <f>IF(SessionMovements[[#This Row],[MovementID]]="","",
   _xlfn.XLOOKUP(SessionMovements[[#This Row],[MovementID]], MovementLibrary[MovementID], MovementLibrary[Unit], "")
)</f>
        <v>kg</v>
      </c>
      <c r="F1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1">
        <v>5</v>
      </c>
      <c r="H131">
        <v>3</v>
      </c>
      <c r="L131" s="5" t="str">
        <f>IF(COUNTIF(Sessions[SessionID],SessionMovements[[#This Row],[SessionID]])=0,"❌ Missing","✔ OK")</f>
        <v>✔ OK</v>
      </c>
    </row>
    <row r="132" spans="1:12" x14ac:dyDescent="0.3">
      <c r="A132" t="s">
        <v>937</v>
      </c>
      <c r="B132" t="s">
        <v>298</v>
      </c>
      <c r="C132" t="str">
        <f>IF(SessionMovements[[#This Row],[MovementID]]="","",
   _xlfn.XLOOKUP(SessionMovements[[#This Row],[MovementID]],MovementLibrary[MovementID],MovementLibrary[Name],"")
)</f>
        <v>Back Squat</v>
      </c>
      <c r="D132" s="5" t="str">
        <f>IF(SessionMovements[[#This Row],[MovementID]]="","",
   _xlfn.XLOOKUP(SessionMovements[[#This Row],[MovementID]], MovementLibrary[MovementID], MovementLibrary[Modality], "")
)</f>
        <v>Barbell</v>
      </c>
      <c r="E132" s="5" t="str">
        <f>IF(SessionMovements[[#This Row],[MovementID]]="","",
   _xlfn.XLOOKUP(SessionMovements[[#This Row],[MovementID]], MovementLibrary[MovementID], MovementLibrary[Unit], "")
)</f>
        <v>kg</v>
      </c>
      <c r="F1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2">
        <v>4</v>
      </c>
      <c r="H132">
        <v>8</v>
      </c>
      <c r="L132" s="5" t="str">
        <f>IF(COUNTIF(Sessions[SessionID],SessionMovements[[#This Row],[SessionID]])=0,"❌ Missing","✔ OK")</f>
        <v>✔ OK</v>
      </c>
    </row>
    <row r="133" spans="1:12" x14ac:dyDescent="0.3">
      <c r="A133" t="s">
        <v>938</v>
      </c>
      <c r="B133" t="s">
        <v>662</v>
      </c>
      <c r="C133" t="str">
        <f>IF(SessionMovements[[#This Row],[MovementID]]="","",
   _xlfn.XLOOKUP(SessionMovements[[#This Row],[MovementID]],MovementLibrary[MovementID],MovementLibrary[Name],"")
)</f>
        <v>Power Clean + Front Squat (Complex)</v>
      </c>
      <c r="D133" s="5" t="str">
        <f>IF(SessionMovements[[#This Row],[MovementID]]="","",
   _xlfn.XLOOKUP(SessionMovements[[#This Row],[MovementID]], MovementLibrary[MovementID], MovementLibrary[Modality], "")
)</f>
        <v>Barbell</v>
      </c>
      <c r="E133" s="5" t="str">
        <f>IF(SessionMovements[[#This Row],[MovementID]]="","",
   _xlfn.XLOOKUP(SessionMovements[[#This Row],[MovementID]], MovementLibrary[MovementID], MovementLibrary[Unit], "")
)</f>
        <v>kg</v>
      </c>
      <c r="F1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3">
        <v>6</v>
      </c>
      <c r="H133" t="s">
        <v>924</v>
      </c>
      <c r="L133" s="5" t="str">
        <f>IF(COUNTIF(Sessions[SessionID],SessionMovements[[#This Row],[SessionID]])=0,"❌ Missing","✔ OK")</f>
        <v>✔ OK</v>
      </c>
    </row>
    <row r="134" spans="1:12" x14ac:dyDescent="0.3">
      <c r="A134" t="s">
        <v>938</v>
      </c>
      <c r="B134" t="s">
        <v>656</v>
      </c>
      <c r="C134" t="str">
        <f>IF(SessionMovements[[#This Row],[MovementID]]="","",
   _xlfn.XLOOKUP(SessionMovements[[#This Row],[MovementID]],MovementLibrary[MovementID],MovementLibrary[Name],"")
)</f>
        <v>Clean High Pull</v>
      </c>
      <c r="D134" s="5" t="str">
        <f>IF(SessionMovements[[#This Row],[MovementID]]="","",
   _xlfn.XLOOKUP(SessionMovements[[#This Row],[MovementID]], MovementLibrary[MovementID], MovementLibrary[Modality], "")
)</f>
        <v>Barbell</v>
      </c>
      <c r="E134" s="5" t="str">
        <f>IF(SessionMovements[[#This Row],[MovementID]]="","",
   _xlfn.XLOOKUP(SessionMovements[[#This Row],[MovementID]], MovementLibrary[MovementID], MovementLibrary[Unit], "")
)</f>
        <v>kg</v>
      </c>
      <c r="F1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4">
        <v>5</v>
      </c>
      <c r="H134">
        <v>5</v>
      </c>
      <c r="L134" s="5" t="str">
        <f>IF(COUNTIF(Sessions[SessionID],SessionMovements[[#This Row],[SessionID]])=0,"❌ Missing","✔ OK")</f>
        <v>✔ OK</v>
      </c>
    </row>
    <row r="135" spans="1:12" x14ac:dyDescent="0.3">
      <c r="A135" t="s">
        <v>938</v>
      </c>
      <c r="B135" t="s">
        <v>290</v>
      </c>
      <c r="C135" t="str">
        <f>IF(SessionMovements[[#This Row],[MovementID]]="","",
   _xlfn.XLOOKUP(SessionMovements[[#This Row],[MovementID]],MovementLibrary[MovementID],MovementLibrary[Name],"")
)</f>
        <v>Push Jerk</v>
      </c>
      <c r="D135" s="5" t="str">
        <f>IF(SessionMovements[[#This Row],[MovementID]]="","",
   _xlfn.XLOOKUP(SessionMovements[[#This Row],[MovementID]], MovementLibrary[MovementID], MovementLibrary[Modality], "")
)</f>
        <v>Barbell</v>
      </c>
      <c r="E135" s="5" t="str">
        <f>IF(SessionMovements[[#This Row],[MovementID]]="","",
   _xlfn.XLOOKUP(SessionMovements[[#This Row],[MovementID]], MovementLibrary[MovementID], MovementLibrary[Unit], "")
)</f>
        <v>kg</v>
      </c>
      <c r="F1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5">
        <v>6</v>
      </c>
      <c r="H135">
        <v>3</v>
      </c>
      <c r="L135" s="5" t="str">
        <f>IF(COUNTIF(Sessions[SessionID],SessionMovements[[#This Row],[SessionID]])=0,"❌ Missing","✔ OK")</f>
        <v>✔ OK</v>
      </c>
    </row>
    <row r="136" spans="1:12" x14ac:dyDescent="0.3">
      <c r="A136" t="s">
        <v>938</v>
      </c>
      <c r="B136" t="s">
        <v>262</v>
      </c>
      <c r="C136" t="str">
        <f>IF(SessionMovements[[#This Row],[MovementID]]="","",
   _xlfn.XLOOKUP(SessionMovements[[#This Row],[MovementID]],MovementLibrary[MovementID],MovementLibrary[Name],"")
)</f>
        <v>Strict Press</v>
      </c>
      <c r="D136" s="5" t="str">
        <f>IF(SessionMovements[[#This Row],[MovementID]]="","",
   _xlfn.XLOOKUP(SessionMovements[[#This Row],[MovementID]], MovementLibrary[MovementID], MovementLibrary[Modality], "")
)</f>
        <v>Barbell</v>
      </c>
      <c r="E136" s="5" t="str">
        <f>IF(SessionMovements[[#This Row],[MovementID]]="","",
   _xlfn.XLOOKUP(SessionMovements[[#This Row],[MovementID]], MovementLibrary[MovementID], MovementLibrary[Unit], "")
)</f>
        <v>kg</v>
      </c>
      <c r="F1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6">
        <v>5</v>
      </c>
      <c r="H136">
        <v>6</v>
      </c>
      <c r="L136" s="5" t="str">
        <f>IF(COUNTIF(Sessions[SessionID],SessionMovements[[#This Row],[SessionID]])=0,"❌ Missing","✔ OK")</f>
        <v>✔ OK</v>
      </c>
    </row>
    <row r="137" spans="1:12" x14ac:dyDescent="0.3">
      <c r="A137" t="s">
        <v>939</v>
      </c>
      <c r="B137" t="s">
        <v>665</v>
      </c>
      <c r="C137" t="str">
        <f>IF(SessionMovements[[#This Row],[MovementID]]="","",
   _xlfn.XLOOKUP(SessionMovements[[#This Row],[MovementID]],MovementLibrary[MovementID],MovementLibrary[Name],"")
)</f>
        <v>Hang Clean (knee) + Jerk (Complex)</v>
      </c>
      <c r="D137" s="5" t="str">
        <f>IF(SessionMovements[[#This Row],[MovementID]]="","",
   _xlfn.XLOOKUP(SessionMovements[[#This Row],[MovementID]], MovementLibrary[MovementID], MovementLibrary[Modality], "")
)</f>
        <v>Barbell</v>
      </c>
      <c r="E137" s="5" t="str">
        <f>IF(SessionMovements[[#This Row],[MovementID]]="","",
   _xlfn.XLOOKUP(SessionMovements[[#This Row],[MovementID]], MovementLibrary[MovementID], MovementLibrary[Unit], "")
)</f>
        <v>kg</v>
      </c>
      <c r="F1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7">
        <v>6</v>
      </c>
      <c r="H137" t="s">
        <v>926</v>
      </c>
      <c r="K137" t="s">
        <v>927</v>
      </c>
      <c r="L137" s="5" t="str">
        <f>IF(COUNTIF(Sessions[SessionID],SessionMovements[[#This Row],[SessionID]])=0,"❌ Missing","✔ OK")</f>
        <v>✔ OK</v>
      </c>
    </row>
    <row r="138" spans="1:12" x14ac:dyDescent="0.3">
      <c r="A138" t="s">
        <v>939</v>
      </c>
      <c r="B138" t="s">
        <v>298</v>
      </c>
      <c r="C138" t="str">
        <f>IF(SessionMovements[[#This Row],[MovementID]]="","",
   _xlfn.XLOOKUP(SessionMovements[[#This Row],[MovementID]],MovementLibrary[MovementID],MovementLibrary[Name],"")
)</f>
        <v>Back Squat</v>
      </c>
      <c r="D138" s="5" t="str">
        <f>IF(SessionMovements[[#This Row],[MovementID]]="","",
   _xlfn.XLOOKUP(SessionMovements[[#This Row],[MovementID]], MovementLibrary[MovementID], MovementLibrary[Modality], "")
)</f>
        <v>Barbell</v>
      </c>
      <c r="E138" s="5" t="str">
        <f>IF(SessionMovements[[#This Row],[MovementID]]="","",
   _xlfn.XLOOKUP(SessionMovements[[#This Row],[MovementID]], MovementLibrary[MovementID], MovementLibrary[Unit], "")
)</f>
        <v>kg</v>
      </c>
      <c r="F1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8">
        <v>5</v>
      </c>
      <c r="H138">
        <v>5</v>
      </c>
      <c r="L138" s="5" t="str">
        <f>IF(COUNTIF(Sessions[SessionID],SessionMovements[[#This Row],[SessionID]])=0,"❌ Missing","✔ OK")</f>
        <v>✔ OK</v>
      </c>
    </row>
    <row r="139" spans="1:12" x14ac:dyDescent="0.3">
      <c r="A139" t="s">
        <v>939</v>
      </c>
      <c r="B139" t="s">
        <v>678</v>
      </c>
      <c r="C139" t="str">
        <f>IF(SessionMovements[[#This Row],[MovementID]]="","",
   _xlfn.XLOOKUP(SessionMovements[[#This Row],[MovementID]],MovementLibrary[MovementID],MovementLibrary[Name],"")
)</f>
        <v>Segmented Clean Deadlift (1" + knee)</v>
      </c>
      <c r="D139" s="5" t="str">
        <f>IF(SessionMovements[[#This Row],[MovementID]]="","",
   _xlfn.XLOOKUP(SessionMovements[[#This Row],[MovementID]], MovementLibrary[MovementID], MovementLibrary[Modality], "")
)</f>
        <v>Barbell</v>
      </c>
      <c r="E139" s="5" t="str">
        <f>IF(SessionMovements[[#This Row],[MovementID]]="","",
   _xlfn.XLOOKUP(SessionMovements[[#This Row],[MovementID]], MovementLibrary[MovementID], MovementLibrary[Unit], "")
)</f>
        <v>kg</v>
      </c>
      <c r="F1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39">
        <v>5</v>
      </c>
      <c r="H139">
        <v>5</v>
      </c>
      <c r="L139" s="5" t="str">
        <f>IF(COUNTIF(Sessions[SessionID],SessionMovements[[#This Row],[SessionID]])=0,"❌ Missing","✔ OK")</f>
        <v>✔ OK</v>
      </c>
    </row>
    <row r="140" spans="1:12" x14ac:dyDescent="0.3">
      <c r="A140" t="s">
        <v>940</v>
      </c>
      <c r="B140" t="s">
        <v>668</v>
      </c>
      <c r="C140" t="str">
        <f>IF(SessionMovements[[#This Row],[MovementID]]="","",
   _xlfn.XLOOKUP(SessionMovements[[#This Row],[MovementID]],MovementLibrary[MovementID],MovementLibrary[Name],"")
)</f>
        <v>Power Snatch + OHS (Complex)</v>
      </c>
      <c r="D140" s="5" t="str">
        <f>IF(SessionMovements[[#This Row],[MovementID]]="","",
   _xlfn.XLOOKUP(SessionMovements[[#This Row],[MovementID]], MovementLibrary[MovementID], MovementLibrary[Modality], "")
)</f>
        <v>Barbell</v>
      </c>
      <c r="E140" s="5" t="str">
        <f>IF(SessionMovements[[#This Row],[MovementID]]="","",
   _xlfn.XLOOKUP(SessionMovements[[#This Row],[MovementID]], MovementLibrary[MovementID], MovementLibrary[Unit], "")
)</f>
        <v>kg</v>
      </c>
      <c r="F1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0">
        <v>6</v>
      </c>
      <c r="H140" t="s">
        <v>924</v>
      </c>
      <c r="L140" s="5" t="str">
        <f>IF(COUNTIF(Sessions[SessionID],SessionMovements[[#This Row],[SessionID]])=0,"❌ Missing","✔ OK")</f>
        <v>✔ OK</v>
      </c>
    </row>
    <row r="141" spans="1:12" x14ac:dyDescent="0.3">
      <c r="A141" t="s">
        <v>940</v>
      </c>
      <c r="B141" t="s">
        <v>659</v>
      </c>
      <c r="C141" t="str">
        <f>IF(SessionMovements[[#This Row],[MovementID]]="","",
   _xlfn.XLOOKUP(SessionMovements[[#This Row],[MovementID]],MovementLibrary[MovementID],MovementLibrary[Name],"")
)</f>
        <v>Snatch High Pull</v>
      </c>
      <c r="D141" s="5" t="str">
        <f>IF(SessionMovements[[#This Row],[MovementID]]="","",
   _xlfn.XLOOKUP(SessionMovements[[#This Row],[MovementID]], MovementLibrary[MovementID], MovementLibrary[Modality], "")
)</f>
        <v>Barbell</v>
      </c>
      <c r="E141" s="5" t="str">
        <f>IF(SessionMovements[[#This Row],[MovementID]]="","",
   _xlfn.XLOOKUP(SessionMovements[[#This Row],[MovementID]], MovementLibrary[MovementID], MovementLibrary[Unit], "")
)</f>
        <v>kg</v>
      </c>
      <c r="F1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1">
        <v>5</v>
      </c>
      <c r="H141">
        <v>5</v>
      </c>
      <c r="L141" s="5" t="str">
        <f>IF(COUNTIF(Sessions[SessionID],SessionMovements[[#This Row],[SessionID]])=0,"❌ Missing","✔ OK")</f>
        <v>✔ OK</v>
      </c>
    </row>
    <row r="142" spans="1:12" x14ac:dyDescent="0.3">
      <c r="A142" t="s">
        <v>940</v>
      </c>
      <c r="B142" t="s">
        <v>296</v>
      </c>
      <c r="C142" t="str">
        <f>IF(SessionMovements[[#This Row],[MovementID]]="","",
   _xlfn.XLOOKUP(SessionMovements[[#This Row],[MovementID]],MovementLibrary[MovementID],MovementLibrary[Name],"")
)</f>
        <v>Front Squat</v>
      </c>
      <c r="D142" s="5" t="str">
        <f>IF(SessionMovements[[#This Row],[MovementID]]="","",
   _xlfn.XLOOKUP(SessionMovements[[#This Row],[MovementID]], MovementLibrary[MovementID], MovementLibrary[Modality], "")
)</f>
        <v>Barbell</v>
      </c>
      <c r="E142" s="5" t="str">
        <f>IF(SessionMovements[[#This Row],[MovementID]]="","",
   _xlfn.XLOOKUP(SessionMovements[[#This Row],[MovementID]], MovementLibrary[MovementID], MovementLibrary[Unit], "")
)</f>
        <v>kg</v>
      </c>
      <c r="F1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2">
        <v>5</v>
      </c>
      <c r="H142">
        <v>4</v>
      </c>
      <c r="L142" s="5" t="str">
        <f>IF(COUNTIF(Sessions[SessionID],SessionMovements[[#This Row],[SessionID]])=0,"❌ Missing","✔ OK")</f>
        <v>✔ OK</v>
      </c>
    </row>
    <row r="143" spans="1:12" x14ac:dyDescent="0.3">
      <c r="A143" t="s">
        <v>940</v>
      </c>
      <c r="B143" t="s">
        <v>671</v>
      </c>
      <c r="C143" t="str">
        <f>IF(SessionMovements[[#This Row],[MovementID]]="","",
   _xlfn.XLOOKUP(SessionMovements[[#This Row],[MovementID]],MovementLibrary[MovementID],MovementLibrary[Name],"")
)</f>
        <v>Snatch Press (Behind-the-neck)</v>
      </c>
      <c r="D143" s="5" t="str">
        <f>IF(SessionMovements[[#This Row],[MovementID]]="","",
   _xlfn.XLOOKUP(SessionMovements[[#This Row],[MovementID]], MovementLibrary[MovementID], MovementLibrary[Modality], "")
)</f>
        <v>Barbell</v>
      </c>
      <c r="E143" s="5" t="str">
        <f>IF(SessionMovements[[#This Row],[MovementID]]="","",
   _xlfn.XLOOKUP(SessionMovements[[#This Row],[MovementID]], MovementLibrary[MovementID], MovementLibrary[Unit], "")
)</f>
        <v>kg</v>
      </c>
      <c r="F1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3">
        <v>5</v>
      </c>
      <c r="H143">
        <v>6</v>
      </c>
      <c r="L143" s="5" t="str">
        <f>IF(COUNTIF(Sessions[SessionID],SessionMovements[[#This Row],[SessionID]])=0,"❌ Missing","✔ OK")</f>
        <v>✔ OK</v>
      </c>
    </row>
    <row r="144" spans="1:12" x14ac:dyDescent="0.3">
      <c r="A144" t="s">
        <v>941</v>
      </c>
      <c r="B144" t="s">
        <v>260</v>
      </c>
      <c r="C144" t="str">
        <f>IF(SessionMovements[[#This Row],[MovementID]]="","",
   _xlfn.XLOOKUP(SessionMovements[[#This Row],[MovementID]],MovementLibrary[MovementID],MovementLibrary[Name],"")
)</f>
        <v>Snatch</v>
      </c>
      <c r="D144" s="5" t="str">
        <f>IF(SessionMovements[[#This Row],[MovementID]]="","",
   _xlfn.XLOOKUP(SessionMovements[[#This Row],[MovementID]], MovementLibrary[MovementID], MovementLibrary[Modality], "")
)</f>
        <v>Barbell</v>
      </c>
      <c r="E144" s="5" t="str">
        <f>IF(SessionMovements[[#This Row],[MovementID]]="","",
   _xlfn.XLOOKUP(SessionMovements[[#This Row],[MovementID]], MovementLibrary[MovementID], MovementLibrary[Unit], "")
)</f>
        <v>kg</v>
      </c>
      <c r="F1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4">
        <v>6</v>
      </c>
      <c r="H144">
        <v>2</v>
      </c>
      <c r="J144">
        <v>65</v>
      </c>
      <c r="L144" s="5" t="str">
        <f>IF(COUNTIF(Sessions[SessionID],SessionMovements[[#This Row],[SessionID]])=0,"❌ Missing","✔ OK")</f>
        <v>✔ OK</v>
      </c>
    </row>
    <row r="145" spans="1:12" x14ac:dyDescent="0.3">
      <c r="A145" t="s">
        <v>941</v>
      </c>
      <c r="B145" t="s">
        <v>534</v>
      </c>
      <c r="C145" t="str">
        <f>IF(SessionMovements[[#This Row],[MovementID]]="","",
   _xlfn.XLOOKUP(SessionMovements[[#This Row],[MovementID]],MovementLibrary[MovementID],MovementLibrary[Name],"")
)</f>
        <v>Snatch Pull</v>
      </c>
      <c r="D145" s="5" t="str">
        <f>IF(SessionMovements[[#This Row],[MovementID]]="","",
   _xlfn.XLOOKUP(SessionMovements[[#This Row],[MovementID]], MovementLibrary[MovementID], MovementLibrary[Modality], "")
)</f>
        <v>Barbell</v>
      </c>
      <c r="E145" s="5" t="str">
        <f>IF(SessionMovements[[#This Row],[MovementID]]="","",
   _xlfn.XLOOKUP(SessionMovements[[#This Row],[MovementID]], MovementLibrary[MovementID], MovementLibrary[Unit], "")
)</f>
        <v>kg</v>
      </c>
      <c r="F1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5">
        <v>5</v>
      </c>
      <c r="H145">
        <v>4</v>
      </c>
      <c r="L145" s="5" t="str">
        <f>IF(COUNTIF(Sessions[SessionID],SessionMovements[[#This Row],[SessionID]])=0,"❌ Missing","✔ OK")</f>
        <v>✔ OK</v>
      </c>
    </row>
    <row r="146" spans="1:12" x14ac:dyDescent="0.3">
      <c r="A146" t="s">
        <v>941</v>
      </c>
      <c r="B146" t="s">
        <v>258</v>
      </c>
      <c r="C146" t="str">
        <f>IF(SessionMovements[[#This Row],[MovementID]]="","",
   _xlfn.XLOOKUP(SessionMovements[[#This Row],[MovementID]],MovementLibrary[MovementID],MovementLibrary[Name],"")
)</f>
        <v>Overhead Squat</v>
      </c>
      <c r="D146" s="5" t="str">
        <f>IF(SessionMovements[[#This Row],[MovementID]]="","",
   _xlfn.XLOOKUP(SessionMovements[[#This Row],[MovementID]], MovementLibrary[MovementID], MovementLibrary[Modality], "")
)</f>
        <v>Barbell</v>
      </c>
      <c r="E146" s="5" t="str">
        <f>IF(SessionMovements[[#This Row],[MovementID]]="","",
   _xlfn.XLOOKUP(SessionMovements[[#This Row],[MovementID]], MovementLibrary[MovementID], MovementLibrary[Unit], "")
)</f>
        <v>kg</v>
      </c>
      <c r="F1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6">
        <v>5</v>
      </c>
      <c r="H146">
        <v>3</v>
      </c>
      <c r="J146">
        <v>80</v>
      </c>
      <c r="L146" s="5" t="str">
        <f>IF(COUNTIF(Sessions[SessionID],SessionMovements[[#This Row],[SessionID]])=0,"❌ Missing","✔ OK")</f>
        <v>✔ OK</v>
      </c>
    </row>
    <row r="147" spans="1:12" x14ac:dyDescent="0.3">
      <c r="A147" t="s">
        <v>941</v>
      </c>
      <c r="B147" t="s">
        <v>298</v>
      </c>
      <c r="C147" t="str">
        <f>IF(SessionMovements[[#This Row],[MovementID]]="","",
   _xlfn.XLOOKUP(SessionMovements[[#This Row],[MovementID]],MovementLibrary[MovementID],MovementLibrary[Name],"")
)</f>
        <v>Back Squat</v>
      </c>
      <c r="D147" s="5" t="str">
        <f>IF(SessionMovements[[#This Row],[MovementID]]="","",
   _xlfn.XLOOKUP(SessionMovements[[#This Row],[MovementID]], MovementLibrary[MovementID], MovementLibrary[Modality], "")
)</f>
        <v>Barbell</v>
      </c>
      <c r="E147" s="5" t="str">
        <f>IF(SessionMovements[[#This Row],[MovementID]]="","",
   _xlfn.XLOOKUP(SessionMovements[[#This Row],[MovementID]], MovementLibrary[MovementID], MovementLibrary[Unit], "")
)</f>
        <v>kg</v>
      </c>
      <c r="F1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7">
        <v>4</v>
      </c>
      <c r="H147">
        <v>6</v>
      </c>
      <c r="J147">
        <v>80</v>
      </c>
      <c r="L147" s="5" t="str">
        <f>IF(COUNTIF(Sessions[SessionID],SessionMovements[[#This Row],[SessionID]])=0,"❌ Missing","✔ OK")</f>
        <v>✔ OK</v>
      </c>
    </row>
    <row r="148" spans="1:12" x14ac:dyDescent="0.3">
      <c r="A148" t="s">
        <v>941</v>
      </c>
      <c r="B148" t="s">
        <v>711</v>
      </c>
      <c r="C148" t="str">
        <f>IF(SessionMovements[[#This Row],[MovementID]]="","",
   _xlfn.XLOOKUP(SessionMovements[[#This Row],[MovementID]],MovementLibrary[MovementID],MovementLibrary[Name],"")
)</f>
        <v>Ring Row</v>
      </c>
      <c r="D148" s="5" t="str">
        <f>IF(SessionMovements[[#This Row],[MovementID]]="","",
   _xlfn.XLOOKUP(SessionMovements[[#This Row],[MovementID]], MovementLibrary[MovementID], MovementLibrary[Modality], "")
)</f>
        <v>Gymnastics</v>
      </c>
      <c r="E148" s="5" t="str">
        <f>IF(SessionMovements[[#This Row],[MovementID]]="","",
   _xlfn.XLOOKUP(SessionMovements[[#This Row],[MovementID]], MovementLibrary[MovementID], MovementLibrary[Unit], "")
)</f>
        <v>reps</v>
      </c>
      <c r="F1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8">
        <v>3</v>
      </c>
      <c r="H148">
        <v>8</v>
      </c>
      <c r="L148" s="5" t="str">
        <f>IF(COUNTIF(Sessions[SessionID],SessionMovements[[#This Row],[SessionID]])=0,"❌ Missing","✔ OK")</f>
        <v>✔ OK</v>
      </c>
    </row>
    <row r="149" spans="1:12" x14ac:dyDescent="0.3">
      <c r="A149" t="s">
        <v>941</v>
      </c>
      <c r="B149" t="s">
        <v>786</v>
      </c>
      <c r="C149" t="str">
        <f>IF(SessionMovements[[#This Row],[MovementID]]="","",
   _xlfn.XLOOKUP(SessionMovements[[#This Row],[MovementID]],MovementLibrary[MovementID],MovementLibrary[Name],"")
)</f>
        <v>Ring support hold</v>
      </c>
      <c r="D149" s="5" t="str">
        <f>IF(SessionMovements[[#This Row],[MovementID]]="","",
   _xlfn.XLOOKUP(SessionMovements[[#This Row],[MovementID]], MovementLibrary[MovementID], MovementLibrary[Modality], "")
)</f>
        <v>Gymnastics</v>
      </c>
      <c r="E149" s="5" t="str">
        <f>IF(SessionMovements[[#This Row],[MovementID]]="","",
   _xlfn.XLOOKUP(SessionMovements[[#This Row],[MovementID]], MovementLibrary[MovementID], MovementLibrary[Unit], "")
)</f>
        <v>sec</v>
      </c>
      <c r="F1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49">
        <v>3</v>
      </c>
      <c r="H149">
        <v>15</v>
      </c>
      <c r="L149" s="5" t="str">
        <f>IF(COUNTIF(Sessions[SessionID],SessionMovements[[#This Row],[SessionID]])=0,"❌ Missing","✔ OK")</f>
        <v>✔ OK</v>
      </c>
    </row>
    <row r="150" spans="1:12" x14ac:dyDescent="0.3">
      <c r="A150" t="s">
        <v>941</v>
      </c>
      <c r="B150" t="s">
        <v>756</v>
      </c>
      <c r="C150" t="str">
        <f>IF(SessionMovements[[#This Row],[MovementID]]="","",
   _xlfn.XLOOKUP(SessionMovements[[#This Row],[MovementID]],MovementLibrary[MovementID],MovementLibrary[Name],"")
)</f>
        <v>Ab Wheel Rollout</v>
      </c>
      <c r="D150" s="5" t="str">
        <f>IF(SessionMovements[[#This Row],[MovementID]]="","",
   _xlfn.XLOOKUP(SessionMovements[[#This Row],[MovementID]], MovementLibrary[MovementID], MovementLibrary[Modality], "")
)</f>
        <v>Gymnastics</v>
      </c>
      <c r="E150" s="5" t="str">
        <f>IF(SessionMovements[[#This Row],[MovementID]]="","",
   _xlfn.XLOOKUP(SessionMovements[[#This Row],[MovementID]], MovementLibrary[MovementID], MovementLibrary[Unit], "")
)</f>
        <v>reps</v>
      </c>
      <c r="F1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0">
        <v>3</v>
      </c>
      <c r="H150">
        <v>10</v>
      </c>
      <c r="L150" s="5" t="str">
        <f>IF(COUNTIF(Sessions[SessionID],SessionMovements[[#This Row],[SessionID]])=0,"❌ Missing","✔ OK")</f>
        <v>✔ OK</v>
      </c>
    </row>
    <row r="151" spans="1:12" x14ac:dyDescent="0.3">
      <c r="A151" t="s">
        <v>942</v>
      </c>
      <c r="B151" t="s">
        <v>662</v>
      </c>
      <c r="C151" t="str">
        <f>IF(SessionMovements[[#This Row],[MovementID]]="","",
   _xlfn.XLOOKUP(SessionMovements[[#This Row],[MovementID]],MovementLibrary[MovementID],MovementLibrary[Name],"")
)</f>
        <v>Power Clean + Front Squat (Complex)</v>
      </c>
      <c r="D151" s="5" t="str">
        <f>IF(SessionMovements[[#This Row],[MovementID]]="","",
   _xlfn.XLOOKUP(SessionMovements[[#This Row],[MovementID]], MovementLibrary[MovementID], MovementLibrary[Modality], "")
)</f>
        <v>Barbell</v>
      </c>
      <c r="E151" s="5" t="str">
        <f>IF(SessionMovements[[#This Row],[MovementID]]="","",
   _xlfn.XLOOKUP(SessionMovements[[#This Row],[MovementID]], MovementLibrary[MovementID], MovementLibrary[Unit], "")
)</f>
        <v>kg</v>
      </c>
      <c r="F1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1">
        <v>6</v>
      </c>
      <c r="H151" t="s">
        <v>943</v>
      </c>
      <c r="K151" t="s">
        <v>944</v>
      </c>
      <c r="L151" s="5" t="str">
        <f>IF(COUNTIF(Sessions[SessionID],SessionMovements[[#This Row],[SessionID]])=0,"❌ Missing","✔ OK")</f>
        <v>✔ OK</v>
      </c>
    </row>
    <row r="152" spans="1:12" x14ac:dyDescent="0.3">
      <c r="A152" t="s">
        <v>942</v>
      </c>
      <c r="B152" t="s">
        <v>537</v>
      </c>
      <c r="C152" t="str">
        <f>IF(SessionMovements[[#This Row],[MovementID]]="","",
   _xlfn.XLOOKUP(SessionMovements[[#This Row],[MovementID]],MovementLibrary[MovementID],MovementLibrary[Name],"")
)</f>
        <v>Clean Pull</v>
      </c>
      <c r="D152" s="5" t="str">
        <f>IF(SessionMovements[[#This Row],[MovementID]]="","",
   _xlfn.XLOOKUP(SessionMovements[[#This Row],[MovementID]], MovementLibrary[MovementID], MovementLibrary[Modality], "")
)</f>
        <v>Barbell</v>
      </c>
      <c r="E152" s="5" t="str">
        <f>IF(SessionMovements[[#This Row],[MovementID]]="","",
   _xlfn.XLOOKUP(SessionMovements[[#This Row],[MovementID]], MovementLibrary[MovementID], MovementLibrary[Unit], "")
)</f>
        <v>kg</v>
      </c>
      <c r="F1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2">
        <v>5</v>
      </c>
      <c r="H152">
        <v>3</v>
      </c>
      <c r="L152" s="5" t="str">
        <f>IF(COUNTIF(Sessions[SessionID],SessionMovements[[#This Row],[SessionID]])=0,"❌ Missing","✔ OK")</f>
        <v>✔ OK</v>
      </c>
    </row>
    <row r="153" spans="1:12" x14ac:dyDescent="0.3">
      <c r="A153" t="s">
        <v>942</v>
      </c>
      <c r="B153" t="s">
        <v>290</v>
      </c>
      <c r="C153" t="str">
        <f>IF(SessionMovements[[#This Row],[MovementID]]="","",
   _xlfn.XLOOKUP(SessionMovements[[#This Row],[MovementID]],MovementLibrary[MovementID],MovementLibrary[Name],"")
)</f>
        <v>Push Jerk</v>
      </c>
      <c r="D153" s="5" t="str">
        <f>IF(SessionMovements[[#This Row],[MovementID]]="","",
   _xlfn.XLOOKUP(SessionMovements[[#This Row],[MovementID]], MovementLibrary[MovementID], MovementLibrary[Modality], "")
)</f>
        <v>Barbell</v>
      </c>
      <c r="E153" s="5" t="str">
        <f>IF(SessionMovements[[#This Row],[MovementID]]="","",
   _xlfn.XLOOKUP(SessionMovements[[#This Row],[MovementID]], MovementLibrary[MovementID], MovementLibrary[Unit], "")
)</f>
        <v>kg</v>
      </c>
      <c r="F1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3">
        <v>6</v>
      </c>
      <c r="H153">
        <v>3</v>
      </c>
      <c r="K153" t="s">
        <v>944</v>
      </c>
      <c r="L153" s="5" t="str">
        <f>IF(COUNTIF(Sessions[SessionID],SessionMovements[[#This Row],[SessionID]])=0,"❌ Missing","✔ OK")</f>
        <v>✔ OK</v>
      </c>
    </row>
    <row r="154" spans="1:12" x14ac:dyDescent="0.3">
      <c r="A154" t="s">
        <v>942</v>
      </c>
      <c r="B154" t="s">
        <v>262</v>
      </c>
      <c r="C154" t="str">
        <f>IF(SessionMovements[[#This Row],[MovementID]]="","",
   _xlfn.XLOOKUP(SessionMovements[[#This Row],[MovementID]],MovementLibrary[MovementID],MovementLibrary[Name],"")
)</f>
        <v>Strict Press</v>
      </c>
      <c r="D154" s="5" t="str">
        <f>IF(SessionMovements[[#This Row],[MovementID]]="","",
   _xlfn.XLOOKUP(SessionMovements[[#This Row],[MovementID]], MovementLibrary[MovementID], MovementLibrary[Modality], "")
)</f>
        <v>Barbell</v>
      </c>
      <c r="E154" s="5" t="str">
        <f>IF(SessionMovements[[#This Row],[MovementID]]="","",
   _xlfn.XLOOKUP(SessionMovements[[#This Row],[MovementID]], MovementLibrary[MovementID], MovementLibrary[Unit], "")
)</f>
        <v>kg</v>
      </c>
      <c r="F1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4">
        <v>5</v>
      </c>
      <c r="H154">
        <v>4</v>
      </c>
      <c r="L154" s="5" t="str">
        <f>IF(COUNTIF(Sessions[SessionID],SessionMovements[[#This Row],[SessionID]])=0,"❌ Missing","✔ OK")</f>
        <v>✔ OK</v>
      </c>
    </row>
    <row r="155" spans="1:12" x14ac:dyDescent="0.3">
      <c r="A155" t="s">
        <v>942</v>
      </c>
      <c r="B155" t="s">
        <v>684</v>
      </c>
      <c r="C155" t="str">
        <f>IF(SessionMovements[[#This Row],[MovementID]]="","",
   _xlfn.XLOOKUP(SessionMovements[[#This Row],[MovementID]],MovementLibrary[MovementID],MovementLibrary[Name],"")
)</f>
        <v>Weighted Pull-Up</v>
      </c>
      <c r="D155" s="5" t="str">
        <f>IF(SessionMovements[[#This Row],[MovementID]]="","",
   _xlfn.XLOOKUP(SessionMovements[[#This Row],[MovementID]], MovementLibrary[MovementID], MovementLibrary[Modality], "")
)</f>
        <v>Gymnastics</v>
      </c>
      <c r="E155" s="5" t="str">
        <f>IF(SessionMovements[[#This Row],[MovementID]]="","",
   _xlfn.XLOOKUP(SessionMovements[[#This Row],[MovementID]], MovementLibrary[MovementID], MovementLibrary[Unit], "")
)</f>
        <v>kg</v>
      </c>
      <c r="F1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5">
        <v>3</v>
      </c>
      <c r="H155">
        <v>5</v>
      </c>
      <c r="K155" t="s">
        <v>945</v>
      </c>
      <c r="L155" s="5" t="str">
        <f>IF(COUNTIF(Sessions[SessionID],SessionMovements[[#This Row],[SessionID]])=0,"❌ Missing","✔ OK")</f>
        <v>✔ OK</v>
      </c>
    </row>
    <row r="156" spans="1:12" x14ac:dyDescent="0.3">
      <c r="A156" t="s">
        <v>942</v>
      </c>
      <c r="B156" t="s">
        <v>524</v>
      </c>
      <c r="C156" t="str">
        <f>IF(SessionMovements[[#This Row],[MovementID]]="","",
   _xlfn.XLOOKUP(SessionMovements[[#This Row],[MovementID]],MovementLibrary[MovementID],MovementLibrary[Name],"")
)</f>
        <v>Chin-Over-Bar Hold</v>
      </c>
      <c r="D156" s="5" t="str">
        <f>IF(SessionMovements[[#This Row],[MovementID]]="","",
   _xlfn.XLOOKUP(SessionMovements[[#This Row],[MovementID]], MovementLibrary[MovementID], MovementLibrary[Modality], "")
)</f>
        <v>Gymnastics</v>
      </c>
      <c r="E156" s="5" t="str">
        <f>IF(SessionMovements[[#This Row],[MovementID]]="","",
   _xlfn.XLOOKUP(SessionMovements[[#This Row],[MovementID]], MovementLibrary[MovementID], MovementLibrary[Unit], "")
)</f>
        <v>sec</v>
      </c>
      <c r="F1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6">
        <v>3</v>
      </c>
      <c r="H156">
        <v>10</v>
      </c>
      <c r="L156" s="5" t="str">
        <f>IF(COUNTIF(Sessions[SessionID],SessionMovements[[#This Row],[SessionID]])=0,"❌ Missing","✔ OK")</f>
        <v>✔ OK</v>
      </c>
    </row>
    <row r="157" spans="1:12" x14ac:dyDescent="0.3">
      <c r="A157" t="s">
        <v>942</v>
      </c>
      <c r="B157" t="s">
        <v>756</v>
      </c>
      <c r="C157" t="str">
        <f>IF(SessionMovements[[#This Row],[MovementID]]="","",
   _xlfn.XLOOKUP(SessionMovements[[#This Row],[MovementID]],MovementLibrary[MovementID],MovementLibrary[Name],"")
)</f>
        <v>Ab Wheel Rollout</v>
      </c>
      <c r="D157" s="5" t="str">
        <f>IF(SessionMovements[[#This Row],[MovementID]]="","",
   _xlfn.XLOOKUP(SessionMovements[[#This Row],[MovementID]], MovementLibrary[MovementID], MovementLibrary[Modality], "")
)</f>
        <v>Gymnastics</v>
      </c>
      <c r="E157" s="5" t="str">
        <f>IF(SessionMovements[[#This Row],[MovementID]]="","",
   _xlfn.XLOOKUP(SessionMovements[[#This Row],[MovementID]], MovementLibrary[MovementID], MovementLibrary[Unit], "")
)</f>
        <v>reps</v>
      </c>
      <c r="F1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7">
        <v>3</v>
      </c>
      <c r="H157">
        <v>10</v>
      </c>
      <c r="L157" s="5" t="str">
        <f>IF(COUNTIF(Sessions[SessionID],SessionMovements[[#This Row],[SessionID]])=0,"❌ Missing","✔ OK")</f>
        <v>✔ OK</v>
      </c>
    </row>
    <row r="158" spans="1:12" x14ac:dyDescent="0.3">
      <c r="A158" t="s">
        <v>946</v>
      </c>
      <c r="B158" t="s">
        <v>261</v>
      </c>
      <c r="C158" t="str">
        <f>IF(SessionMovements[[#This Row],[MovementID]]="","",
   _xlfn.XLOOKUP(SessionMovements[[#This Row],[MovementID]],MovementLibrary[MovementID],MovementLibrary[Name],"")
)</f>
        <v>Clean &amp; Jerk</v>
      </c>
      <c r="D158" s="5" t="str">
        <f>IF(SessionMovements[[#This Row],[MovementID]]="","",
   _xlfn.XLOOKUP(SessionMovements[[#This Row],[MovementID]], MovementLibrary[MovementID], MovementLibrary[Modality], "")
)</f>
        <v>Barbell</v>
      </c>
      <c r="E158" s="5" t="str">
        <f>IF(SessionMovements[[#This Row],[MovementID]]="","",
   _xlfn.XLOOKUP(SessionMovements[[#This Row],[MovementID]], MovementLibrary[MovementID], MovementLibrary[Unit], "")
)</f>
        <v>kg</v>
      </c>
      <c r="F1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8">
        <v>6</v>
      </c>
      <c r="H158" t="s">
        <v>943</v>
      </c>
      <c r="J158">
        <v>65</v>
      </c>
      <c r="L158" s="5" t="str">
        <f>IF(COUNTIF(Sessions[SessionID],SessionMovements[[#This Row],[SessionID]])=0,"❌ Missing","✔ OK")</f>
        <v>✔ OK</v>
      </c>
    </row>
    <row r="159" spans="1:12" x14ac:dyDescent="0.3">
      <c r="A159" t="s">
        <v>946</v>
      </c>
      <c r="B159" t="s">
        <v>537</v>
      </c>
      <c r="C159" t="str">
        <f>IF(SessionMovements[[#This Row],[MovementID]]="","",
   _xlfn.XLOOKUP(SessionMovements[[#This Row],[MovementID]],MovementLibrary[MovementID],MovementLibrary[Name],"")
)</f>
        <v>Clean Pull</v>
      </c>
      <c r="D159" s="5" t="str">
        <f>IF(SessionMovements[[#This Row],[MovementID]]="","",
   _xlfn.XLOOKUP(SessionMovements[[#This Row],[MovementID]], MovementLibrary[MovementID], MovementLibrary[Modality], "")
)</f>
        <v>Barbell</v>
      </c>
      <c r="E159" s="5" t="str">
        <f>IF(SessionMovements[[#This Row],[MovementID]]="","",
   _xlfn.XLOOKUP(SessionMovements[[#This Row],[MovementID]], MovementLibrary[MovementID], MovementLibrary[Unit], "")
)</f>
        <v>kg</v>
      </c>
      <c r="F1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59">
        <v>5</v>
      </c>
      <c r="H159">
        <v>4</v>
      </c>
      <c r="K159" t="s">
        <v>947</v>
      </c>
      <c r="L159" s="5" t="str">
        <f>IF(COUNTIF(Sessions[SessionID],SessionMovements[[#This Row],[SessionID]])=0,"❌ Missing","✔ OK")</f>
        <v>✔ OK</v>
      </c>
    </row>
    <row r="160" spans="1:12" x14ac:dyDescent="0.3">
      <c r="A160" t="s">
        <v>946</v>
      </c>
      <c r="B160" t="s">
        <v>298</v>
      </c>
      <c r="C160" t="str">
        <f>IF(SessionMovements[[#This Row],[MovementID]]="","",
   _xlfn.XLOOKUP(SessionMovements[[#This Row],[MovementID]],MovementLibrary[MovementID],MovementLibrary[Name],"")
)</f>
        <v>Back Squat</v>
      </c>
      <c r="D160" s="5" t="str">
        <f>IF(SessionMovements[[#This Row],[MovementID]]="","",
   _xlfn.XLOOKUP(SessionMovements[[#This Row],[MovementID]], MovementLibrary[MovementID], MovementLibrary[Modality], "")
)</f>
        <v>Barbell</v>
      </c>
      <c r="E160" s="5" t="str">
        <f>IF(SessionMovements[[#This Row],[MovementID]]="","",
   _xlfn.XLOOKUP(SessionMovements[[#This Row],[MovementID]], MovementLibrary[MovementID], MovementLibrary[Unit], "")
)</f>
        <v>kg</v>
      </c>
      <c r="F1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0">
        <v>5</v>
      </c>
      <c r="H160">
        <v>3</v>
      </c>
      <c r="J160">
        <v>80</v>
      </c>
      <c r="L160" s="5" t="str">
        <f>IF(COUNTIF(Sessions[SessionID],SessionMovements[[#This Row],[SessionID]])=0,"❌ Missing","✔ OK")</f>
        <v>✔ OK</v>
      </c>
    </row>
    <row r="161" spans="1:12" x14ac:dyDescent="0.3">
      <c r="A161" t="s">
        <v>946</v>
      </c>
      <c r="B161" t="s">
        <v>771</v>
      </c>
      <c r="C161" t="str">
        <f>IF(SessionMovements[[#This Row],[MovementID]]="","",
   _xlfn.XLOOKUP(SessionMovements[[#This Row],[MovementID]],MovementLibrary[MovementID],MovementLibrary[Name],"")
)</f>
        <v>Ring MU Transition</v>
      </c>
      <c r="D161" s="5" t="str">
        <f>IF(SessionMovements[[#This Row],[MovementID]]="","",
   _xlfn.XLOOKUP(SessionMovements[[#This Row],[MovementID]], MovementLibrary[MovementID], MovementLibrary[Modality], "")
)</f>
        <v>Gymnastics</v>
      </c>
      <c r="E161" s="5" t="str">
        <f>IF(SessionMovements[[#This Row],[MovementID]]="","",
   _xlfn.XLOOKUP(SessionMovements[[#This Row],[MovementID]], MovementLibrary[MovementID], MovementLibrary[Unit], "")
)</f>
        <v>reps</v>
      </c>
      <c r="F1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1">
        <v>3</v>
      </c>
      <c r="H161">
        <v>3</v>
      </c>
      <c r="L161" s="5" t="str">
        <f>IF(COUNTIF(Sessions[SessionID],SessionMovements[[#This Row],[SessionID]])=0,"❌ Missing","✔ OK")</f>
        <v>✔ OK</v>
      </c>
    </row>
    <row r="162" spans="1:12" x14ac:dyDescent="0.3">
      <c r="A162" t="s">
        <v>946</v>
      </c>
      <c r="B162" t="s">
        <v>777</v>
      </c>
      <c r="C162" t="str">
        <f>IF(SessionMovements[[#This Row],[MovementID]]="","",
   _xlfn.XLOOKUP(SessionMovements[[#This Row],[MovementID]],MovementLibrary[MovementID],MovementLibrary[Name],"")
)</f>
        <v>Ring Dip Bottom Hold</v>
      </c>
      <c r="D162" s="5" t="str">
        <f>IF(SessionMovements[[#This Row],[MovementID]]="","",
   _xlfn.XLOOKUP(SessionMovements[[#This Row],[MovementID]], MovementLibrary[MovementID], MovementLibrary[Modality], "")
)</f>
        <v>Gymnastics</v>
      </c>
      <c r="E162" s="5" t="str">
        <f>IF(SessionMovements[[#This Row],[MovementID]]="","",
   _xlfn.XLOOKUP(SessionMovements[[#This Row],[MovementID]], MovementLibrary[MovementID], MovementLibrary[Unit], "")
)</f>
        <v>sec</v>
      </c>
      <c r="F1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2">
        <v>3</v>
      </c>
      <c r="H162">
        <v>15</v>
      </c>
      <c r="L162" s="5" t="str">
        <f>IF(COUNTIF(Sessions[SessionID],SessionMovements[[#This Row],[SessionID]])=0,"❌ Missing","✔ OK")</f>
        <v>✔ OK</v>
      </c>
    </row>
    <row r="163" spans="1:12" x14ac:dyDescent="0.3">
      <c r="A163" t="s">
        <v>946</v>
      </c>
      <c r="B163" t="s">
        <v>530</v>
      </c>
      <c r="C163" t="str">
        <f>IF(SessionMovements[[#This Row],[MovementID]]="","",
   _xlfn.XLOOKUP(SessionMovements[[#This Row],[MovementID]],MovementLibrary[MovementID],MovementLibrary[Name],"")
)</f>
        <v>Hollow Hold</v>
      </c>
      <c r="D163" s="5" t="str">
        <f>IF(SessionMovements[[#This Row],[MovementID]]="","",
   _xlfn.XLOOKUP(SessionMovements[[#This Row],[MovementID]], MovementLibrary[MovementID], MovementLibrary[Modality], "")
)</f>
        <v>Gymnastics</v>
      </c>
      <c r="E163" s="5" t="str">
        <f>IF(SessionMovements[[#This Row],[MovementID]]="","",
   _xlfn.XLOOKUP(SessionMovements[[#This Row],[MovementID]], MovementLibrary[MovementID], MovementLibrary[Unit], "")
)</f>
        <v>sec</v>
      </c>
      <c r="F1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3">
        <v>3</v>
      </c>
      <c r="H163" t="s">
        <v>948</v>
      </c>
      <c r="L163" s="5" t="str">
        <f>IF(COUNTIF(Sessions[SessionID],SessionMovements[[#This Row],[SessionID]])=0,"❌ Missing","✔ OK")</f>
        <v>✔ OK</v>
      </c>
    </row>
    <row r="164" spans="1:12" x14ac:dyDescent="0.3">
      <c r="A164" t="s">
        <v>949</v>
      </c>
      <c r="B164" t="s">
        <v>668</v>
      </c>
      <c r="C164" t="str">
        <f>IF(SessionMovements[[#This Row],[MovementID]]="","",
   _xlfn.XLOOKUP(SessionMovements[[#This Row],[MovementID]],MovementLibrary[MovementID],MovementLibrary[Name],"")
)</f>
        <v>Power Snatch + OHS (Complex)</v>
      </c>
      <c r="D164" s="5" t="str">
        <f>IF(SessionMovements[[#This Row],[MovementID]]="","",
   _xlfn.XLOOKUP(SessionMovements[[#This Row],[MovementID]], MovementLibrary[MovementID], MovementLibrary[Modality], "")
)</f>
        <v>Barbell</v>
      </c>
      <c r="E164" s="5" t="str">
        <f>IF(SessionMovements[[#This Row],[MovementID]]="","",
   _xlfn.XLOOKUP(SessionMovements[[#This Row],[MovementID]], MovementLibrary[MovementID], MovementLibrary[Unit], "")
)</f>
        <v>kg</v>
      </c>
      <c r="F1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4">
        <v>6</v>
      </c>
      <c r="H164" t="s">
        <v>943</v>
      </c>
      <c r="K164" t="s">
        <v>950</v>
      </c>
      <c r="L164" s="5" t="str">
        <f>IF(COUNTIF(Sessions[SessionID],SessionMovements[[#This Row],[SessionID]])=0,"❌ Missing","✔ OK")</f>
        <v>✔ OK</v>
      </c>
    </row>
    <row r="165" spans="1:12" x14ac:dyDescent="0.3">
      <c r="A165" t="s">
        <v>949</v>
      </c>
      <c r="B165" t="s">
        <v>659</v>
      </c>
      <c r="C165" t="str">
        <f>IF(SessionMovements[[#This Row],[MovementID]]="","",
   _xlfn.XLOOKUP(SessionMovements[[#This Row],[MovementID]],MovementLibrary[MovementID],MovementLibrary[Name],"")
)</f>
        <v>Snatch High Pull</v>
      </c>
      <c r="D165" s="5" t="str">
        <f>IF(SessionMovements[[#This Row],[MovementID]]="","",
   _xlfn.XLOOKUP(SessionMovements[[#This Row],[MovementID]], MovementLibrary[MovementID], MovementLibrary[Modality], "")
)</f>
        <v>Barbell</v>
      </c>
      <c r="E165" s="5" t="str">
        <f>IF(SessionMovements[[#This Row],[MovementID]]="","",
   _xlfn.XLOOKUP(SessionMovements[[#This Row],[MovementID]], MovementLibrary[MovementID], MovementLibrary[Unit], "")
)</f>
        <v>kg</v>
      </c>
      <c r="F1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5">
        <v>5</v>
      </c>
      <c r="H165">
        <v>3</v>
      </c>
      <c r="K165" t="s">
        <v>944</v>
      </c>
      <c r="L165" s="5" t="str">
        <f>IF(COUNTIF(Sessions[SessionID],SessionMovements[[#This Row],[SessionID]])=0,"❌ Missing","✔ OK")</f>
        <v>✔ OK</v>
      </c>
    </row>
    <row r="166" spans="1:12" x14ac:dyDescent="0.3">
      <c r="A166" t="s">
        <v>949</v>
      </c>
      <c r="B166" t="s">
        <v>296</v>
      </c>
      <c r="C166" t="str">
        <f>IF(SessionMovements[[#This Row],[MovementID]]="","",
   _xlfn.XLOOKUP(SessionMovements[[#This Row],[MovementID]],MovementLibrary[MovementID],MovementLibrary[Name],"")
)</f>
        <v>Front Squat</v>
      </c>
      <c r="D166" s="5" t="str">
        <f>IF(SessionMovements[[#This Row],[MovementID]]="","",
   _xlfn.XLOOKUP(SessionMovements[[#This Row],[MovementID]], MovementLibrary[MovementID], MovementLibrary[Modality], "")
)</f>
        <v>Barbell</v>
      </c>
      <c r="E166" s="5" t="str">
        <f>IF(SessionMovements[[#This Row],[MovementID]]="","",
   _xlfn.XLOOKUP(SessionMovements[[#This Row],[MovementID]], MovementLibrary[MovementID], MovementLibrary[Unit], "")
)</f>
        <v>kg</v>
      </c>
      <c r="F1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6">
        <v>5</v>
      </c>
      <c r="H166">
        <v>3</v>
      </c>
      <c r="J166">
        <v>80</v>
      </c>
      <c r="L166" s="5" t="str">
        <f>IF(COUNTIF(Sessions[SessionID],SessionMovements[[#This Row],[SessionID]])=0,"❌ Missing","✔ OK")</f>
        <v>✔ OK</v>
      </c>
    </row>
    <row r="167" spans="1:12" x14ac:dyDescent="0.3">
      <c r="A167" t="s">
        <v>949</v>
      </c>
      <c r="B167" t="s">
        <v>671</v>
      </c>
      <c r="C167" t="str">
        <f>IF(SessionMovements[[#This Row],[MovementID]]="","",
   _xlfn.XLOOKUP(SessionMovements[[#This Row],[MovementID]],MovementLibrary[MovementID],MovementLibrary[Name],"")
)</f>
        <v>Snatch Press (Behind-the-neck)</v>
      </c>
      <c r="D167" s="5" t="str">
        <f>IF(SessionMovements[[#This Row],[MovementID]]="","",
   _xlfn.XLOOKUP(SessionMovements[[#This Row],[MovementID]], MovementLibrary[MovementID], MovementLibrary[Modality], "")
)</f>
        <v>Barbell</v>
      </c>
      <c r="E167" s="5" t="str">
        <f>IF(SessionMovements[[#This Row],[MovementID]]="","",
   _xlfn.XLOOKUP(SessionMovements[[#This Row],[MovementID]], MovementLibrary[MovementID], MovementLibrary[Unit], "")
)</f>
        <v>kg</v>
      </c>
      <c r="F1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7">
        <v>5</v>
      </c>
      <c r="H167">
        <v>4</v>
      </c>
      <c r="K167" t="s">
        <v>951</v>
      </c>
      <c r="L167" s="5" t="str">
        <f>IF(COUNTIF(Sessions[SessionID],SessionMovements[[#This Row],[SessionID]])=0,"❌ Missing","✔ OK")</f>
        <v>✔ OK</v>
      </c>
    </row>
    <row r="168" spans="1:12" x14ac:dyDescent="0.3">
      <c r="A168" t="s">
        <v>949</v>
      </c>
      <c r="B168" t="s">
        <v>527</v>
      </c>
      <c r="C168" t="str">
        <f>IF(SessionMovements[[#This Row],[MovementID]]="","",
   _xlfn.XLOOKUP(SessionMovements[[#This Row],[MovementID]],MovementLibrary[MovementID],MovementLibrary[Name],"")
)</f>
        <v>L-Sit Hold</v>
      </c>
      <c r="D168" s="5" t="str">
        <f>IF(SessionMovements[[#This Row],[MovementID]]="","",
   _xlfn.XLOOKUP(SessionMovements[[#This Row],[MovementID]], MovementLibrary[MovementID], MovementLibrary[Modality], "")
)</f>
        <v>Gymnastics</v>
      </c>
      <c r="E168" s="5" t="str">
        <f>IF(SessionMovements[[#This Row],[MovementID]]="","",
   _xlfn.XLOOKUP(SessionMovements[[#This Row],[MovementID]], MovementLibrary[MovementID], MovementLibrary[Unit], "")
)</f>
        <v>sec</v>
      </c>
      <c r="F1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8">
        <v>3</v>
      </c>
      <c r="H168">
        <v>5</v>
      </c>
      <c r="K168" t="s">
        <v>952</v>
      </c>
      <c r="L168" s="5" t="str">
        <f>IF(COUNTIF(Sessions[SessionID],SessionMovements[[#This Row],[SessionID]])=0,"❌ Missing","✔ OK")</f>
        <v>✔ OK</v>
      </c>
    </row>
    <row r="169" spans="1:12" x14ac:dyDescent="0.3">
      <c r="A169" t="s">
        <v>949</v>
      </c>
      <c r="B169" t="s">
        <v>783</v>
      </c>
      <c r="C169" t="str">
        <f>IF(SessionMovements[[#This Row],[MovementID]]="","",
   _xlfn.XLOOKUP(SessionMovements[[#This Row],[MovementID]],MovementLibrary[MovementID],MovementLibrary[Name],"")
)</f>
        <v>Scap Pull (Bar/Rings)</v>
      </c>
      <c r="D169" s="5" t="str">
        <f>IF(SessionMovements[[#This Row],[MovementID]]="","",
   _xlfn.XLOOKUP(SessionMovements[[#This Row],[MovementID]], MovementLibrary[MovementID], MovementLibrary[Modality], "")
)</f>
        <v>Gymnastics</v>
      </c>
      <c r="E169" s="5" t="str">
        <f>IF(SessionMovements[[#This Row],[MovementID]]="","",
   _xlfn.XLOOKUP(SessionMovements[[#This Row],[MovementID]], MovementLibrary[MovementID], MovementLibrary[Unit], "")
)</f>
        <v>reps</v>
      </c>
      <c r="F1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69">
        <v>3</v>
      </c>
      <c r="H169" t="s">
        <v>948</v>
      </c>
      <c r="K169" t="s">
        <v>953</v>
      </c>
      <c r="L169" s="5" t="str">
        <f>IF(COUNTIF(Sessions[SessionID],SessionMovements[[#This Row],[SessionID]])=0,"❌ Missing","✔ OK")</f>
        <v>✔ OK</v>
      </c>
    </row>
    <row r="170" spans="1:12" x14ac:dyDescent="0.3">
      <c r="A170" t="s">
        <v>949</v>
      </c>
      <c r="B170" t="s">
        <v>735</v>
      </c>
      <c r="C170" t="str">
        <f>IF(SessionMovements[[#This Row],[MovementID]]="","",
   _xlfn.XLOOKUP(SessionMovements[[#This Row],[MovementID]],MovementLibrary[MovementID],MovementLibrary[Name],"")
)</f>
        <v>Hollow Rock</v>
      </c>
      <c r="D170" s="5" t="str">
        <f>IF(SessionMovements[[#This Row],[MovementID]]="","",
   _xlfn.XLOOKUP(SessionMovements[[#This Row],[MovementID]], MovementLibrary[MovementID], MovementLibrary[Modality], "")
)</f>
        <v>Gymnastics</v>
      </c>
      <c r="E170" s="5" t="str">
        <f>IF(SessionMovements[[#This Row],[MovementID]]="","",
   _xlfn.XLOOKUP(SessionMovements[[#This Row],[MovementID]], MovementLibrary[MovementID], MovementLibrary[Unit], "")
)</f>
        <v>reps</v>
      </c>
      <c r="F1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0">
        <v>3</v>
      </c>
      <c r="H170">
        <v>15</v>
      </c>
      <c r="L170" s="5" t="str">
        <f>IF(COUNTIF(Sessions[SessionID],SessionMovements[[#This Row],[SessionID]])=0,"❌ Missing","✔ OK")</f>
        <v>✔ OK</v>
      </c>
    </row>
    <row r="171" spans="1:12" x14ac:dyDescent="0.3">
      <c r="A171" t="s">
        <v>954</v>
      </c>
      <c r="B171" t="s">
        <v>260</v>
      </c>
      <c r="C171" t="str">
        <f>IF(SessionMovements[[#This Row],[MovementID]]="","",
   _xlfn.XLOOKUP(SessionMovements[[#This Row],[MovementID]],MovementLibrary[MovementID],MovementLibrary[Name],"")
)</f>
        <v>Snatch</v>
      </c>
      <c r="D171" s="5" t="str">
        <f>IF(SessionMovements[[#This Row],[MovementID]]="","",
   _xlfn.XLOOKUP(SessionMovements[[#This Row],[MovementID]], MovementLibrary[MovementID], MovementLibrary[Modality], "")
)</f>
        <v>Barbell</v>
      </c>
      <c r="E171" s="5" t="str">
        <f>IF(SessionMovements[[#This Row],[MovementID]]="","",
   _xlfn.XLOOKUP(SessionMovements[[#This Row],[MovementID]], MovementLibrary[MovementID], MovementLibrary[Unit], "")
)</f>
        <v>kg</v>
      </c>
      <c r="F1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1">
        <v>6</v>
      </c>
      <c r="H171">
        <v>2</v>
      </c>
      <c r="J171">
        <v>70</v>
      </c>
      <c r="L171" s="5" t="str">
        <f>IF(COUNTIF(Sessions[SessionID],SessionMovements[[#This Row],[SessionID]])=0,"❌ Missing","✔ OK")</f>
        <v>✔ OK</v>
      </c>
    </row>
    <row r="172" spans="1:12" x14ac:dyDescent="0.3">
      <c r="A172" t="s">
        <v>954</v>
      </c>
      <c r="B172" t="s">
        <v>534</v>
      </c>
      <c r="C172" t="str">
        <f>IF(SessionMovements[[#This Row],[MovementID]]="","",
   _xlfn.XLOOKUP(SessionMovements[[#This Row],[MovementID]],MovementLibrary[MovementID],MovementLibrary[Name],"")
)</f>
        <v>Snatch Pull</v>
      </c>
      <c r="D172" s="5" t="str">
        <f>IF(SessionMovements[[#This Row],[MovementID]]="","",
   _xlfn.XLOOKUP(SessionMovements[[#This Row],[MovementID]], MovementLibrary[MovementID], MovementLibrary[Modality], "")
)</f>
        <v>Barbell</v>
      </c>
      <c r="E172" s="5" t="str">
        <f>IF(SessionMovements[[#This Row],[MovementID]]="","",
   _xlfn.XLOOKUP(SessionMovements[[#This Row],[MovementID]], MovementLibrary[MovementID], MovementLibrary[Unit], "")
)</f>
        <v>kg</v>
      </c>
      <c r="F1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2">
        <v>5</v>
      </c>
      <c r="H172">
        <v>4</v>
      </c>
      <c r="K172" t="s">
        <v>955</v>
      </c>
      <c r="L172" s="5" t="str">
        <f>IF(COUNTIF(Sessions[SessionID],SessionMovements[[#This Row],[SessionID]])=0,"❌ Missing","✔ OK")</f>
        <v>✔ OK</v>
      </c>
    </row>
    <row r="173" spans="1:12" x14ac:dyDescent="0.3">
      <c r="A173" t="s">
        <v>954</v>
      </c>
      <c r="B173" t="s">
        <v>258</v>
      </c>
      <c r="C173" t="str">
        <f>IF(SessionMovements[[#This Row],[MovementID]]="","",
   _xlfn.XLOOKUP(SessionMovements[[#This Row],[MovementID]],MovementLibrary[MovementID],MovementLibrary[Name],"")
)</f>
        <v>Overhead Squat</v>
      </c>
      <c r="D173" s="5" t="str">
        <f>IF(SessionMovements[[#This Row],[MovementID]]="","",
   _xlfn.XLOOKUP(SessionMovements[[#This Row],[MovementID]], MovementLibrary[MovementID], MovementLibrary[Modality], "")
)</f>
        <v>Barbell</v>
      </c>
      <c r="E173" s="5" t="str">
        <f>IF(SessionMovements[[#This Row],[MovementID]]="","",
   _xlfn.XLOOKUP(SessionMovements[[#This Row],[MovementID]], MovementLibrary[MovementID], MovementLibrary[Unit], "")
)</f>
        <v>kg</v>
      </c>
      <c r="F1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3">
        <v>5</v>
      </c>
      <c r="H173">
        <v>3</v>
      </c>
      <c r="J173">
        <v>80</v>
      </c>
      <c r="L173" s="5" t="str">
        <f>IF(COUNTIF(Sessions[SessionID],SessionMovements[[#This Row],[SessionID]])=0,"❌ Missing","✔ OK")</f>
        <v>✔ OK</v>
      </c>
    </row>
    <row r="174" spans="1:12" x14ac:dyDescent="0.3">
      <c r="A174" t="s">
        <v>954</v>
      </c>
      <c r="B174" t="s">
        <v>298</v>
      </c>
      <c r="C174" t="str">
        <f>IF(SessionMovements[[#This Row],[MovementID]]="","",
   _xlfn.XLOOKUP(SessionMovements[[#This Row],[MovementID]],MovementLibrary[MovementID],MovementLibrary[Name],"")
)</f>
        <v>Back Squat</v>
      </c>
      <c r="D174" s="5" t="str">
        <f>IF(SessionMovements[[#This Row],[MovementID]]="","",
   _xlfn.XLOOKUP(SessionMovements[[#This Row],[MovementID]], MovementLibrary[MovementID], MovementLibrary[Modality], "")
)</f>
        <v>Barbell</v>
      </c>
      <c r="E174" s="5" t="str">
        <f>IF(SessionMovements[[#This Row],[MovementID]]="","",
   _xlfn.XLOOKUP(SessionMovements[[#This Row],[MovementID]], MovementLibrary[MovementID], MovementLibrary[Unit], "")
)</f>
        <v>kg</v>
      </c>
      <c r="F1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4">
        <v>4</v>
      </c>
      <c r="H174">
        <v>6</v>
      </c>
      <c r="J174">
        <v>72</v>
      </c>
      <c r="L174" s="5" t="str">
        <f>IF(COUNTIF(Sessions[SessionID],SessionMovements[[#This Row],[SessionID]])=0,"❌ Missing","✔ OK")</f>
        <v>✔ OK</v>
      </c>
    </row>
    <row r="175" spans="1:12" x14ac:dyDescent="0.3">
      <c r="A175" t="s">
        <v>954</v>
      </c>
      <c r="B175" t="s">
        <v>711</v>
      </c>
      <c r="C175" t="str">
        <f>IF(SessionMovements[[#This Row],[MovementID]]="","",
   _xlfn.XLOOKUP(SessionMovements[[#This Row],[MovementID]],MovementLibrary[MovementID],MovementLibrary[Name],"")
)</f>
        <v>Ring Row</v>
      </c>
      <c r="D175" s="5" t="str">
        <f>IF(SessionMovements[[#This Row],[MovementID]]="","",
   _xlfn.XLOOKUP(SessionMovements[[#This Row],[MovementID]], MovementLibrary[MovementID], MovementLibrary[Modality], "")
)</f>
        <v>Gymnastics</v>
      </c>
      <c r="E175" s="5" t="str">
        <f>IF(SessionMovements[[#This Row],[MovementID]]="","",
   _xlfn.XLOOKUP(SessionMovements[[#This Row],[MovementID]], MovementLibrary[MovementID], MovementLibrary[Unit], "")
)</f>
        <v>reps</v>
      </c>
      <c r="F1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5">
        <v>3</v>
      </c>
      <c r="H175">
        <v>8</v>
      </c>
      <c r="L175" s="5" t="str">
        <f>IF(COUNTIF(Sessions[SessionID],SessionMovements[[#This Row],[SessionID]])=0,"❌ Missing","✔ OK")</f>
        <v>✔ OK</v>
      </c>
    </row>
    <row r="176" spans="1:12" x14ac:dyDescent="0.3">
      <c r="A176" t="s">
        <v>954</v>
      </c>
      <c r="B176" t="s">
        <v>786</v>
      </c>
      <c r="C176" t="str">
        <f>IF(SessionMovements[[#This Row],[MovementID]]="","",
   _xlfn.XLOOKUP(SessionMovements[[#This Row],[MovementID]],MovementLibrary[MovementID],MovementLibrary[Name],"")
)</f>
        <v>Ring support hold</v>
      </c>
      <c r="D176" s="5" t="str">
        <f>IF(SessionMovements[[#This Row],[MovementID]]="","",
   _xlfn.XLOOKUP(SessionMovements[[#This Row],[MovementID]], MovementLibrary[MovementID], MovementLibrary[Modality], "")
)</f>
        <v>Gymnastics</v>
      </c>
      <c r="E176" s="5" t="str">
        <f>IF(SessionMovements[[#This Row],[MovementID]]="","",
   _xlfn.XLOOKUP(SessionMovements[[#This Row],[MovementID]], MovementLibrary[MovementID], MovementLibrary[Unit], "")
)</f>
        <v>sec</v>
      </c>
      <c r="F1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6">
        <v>3</v>
      </c>
      <c r="H176">
        <v>15</v>
      </c>
      <c r="L176" s="5" t="str">
        <f>IF(COUNTIF(Sessions[SessionID],SessionMovements[[#This Row],[SessionID]])=0,"❌ Missing","✔ OK")</f>
        <v>✔ OK</v>
      </c>
    </row>
    <row r="177" spans="1:12" x14ac:dyDescent="0.3">
      <c r="A177" t="s">
        <v>954</v>
      </c>
      <c r="B177" t="s">
        <v>756</v>
      </c>
      <c r="C177" t="str">
        <f>IF(SessionMovements[[#This Row],[MovementID]]="","",
   _xlfn.XLOOKUP(SessionMovements[[#This Row],[MovementID]],MovementLibrary[MovementID],MovementLibrary[Name],"")
)</f>
        <v>Ab Wheel Rollout</v>
      </c>
      <c r="D177" s="5" t="str">
        <f>IF(SessionMovements[[#This Row],[MovementID]]="","",
   _xlfn.XLOOKUP(SessionMovements[[#This Row],[MovementID]], MovementLibrary[MovementID], MovementLibrary[Modality], "")
)</f>
        <v>Gymnastics</v>
      </c>
      <c r="E177" s="5" t="str">
        <f>IF(SessionMovements[[#This Row],[MovementID]]="","",
   _xlfn.XLOOKUP(SessionMovements[[#This Row],[MovementID]], MovementLibrary[MovementID], MovementLibrary[Unit], "")
)</f>
        <v>reps</v>
      </c>
      <c r="F1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7">
        <v>3</v>
      </c>
      <c r="H177">
        <v>10</v>
      </c>
      <c r="L177" s="5" t="str">
        <f>IF(COUNTIF(Sessions[SessionID],SessionMovements[[#This Row],[SessionID]])=0,"❌ Missing","✔ OK")</f>
        <v>✔ OK</v>
      </c>
    </row>
    <row r="178" spans="1:12" x14ac:dyDescent="0.3">
      <c r="A178" t="s">
        <v>956</v>
      </c>
      <c r="B178" t="s">
        <v>662</v>
      </c>
      <c r="C178" t="str">
        <f>IF(SessionMovements[[#This Row],[MovementID]]="","",
   _xlfn.XLOOKUP(SessionMovements[[#This Row],[MovementID]],MovementLibrary[MovementID],MovementLibrary[Name],"")
)</f>
        <v>Power Clean + Front Squat (Complex)</v>
      </c>
      <c r="D178" s="5" t="str">
        <f>IF(SessionMovements[[#This Row],[MovementID]]="","",
   _xlfn.XLOOKUP(SessionMovements[[#This Row],[MovementID]], MovementLibrary[MovementID], MovementLibrary[Modality], "")
)</f>
        <v>Barbell</v>
      </c>
      <c r="E178" s="5" t="str">
        <f>IF(SessionMovements[[#This Row],[MovementID]]="","",
   _xlfn.XLOOKUP(SessionMovements[[#This Row],[MovementID]], MovementLibrary[MovementID], MovementLibrary[Unit], "")
)</f>
        <v>kg</v>
      </c>
      <c r="F1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8">
        <v>6</v>
      </c>
      <c r="H178" t="s">
        <v>943</v>
      </c>
      <c r="K178" t="s">
        <v>955</v>
      </c>
      <c r="L178" s="5" t="str">
        <f>IF(COUNTIF(Sessions[SessionID],SessionMovements[[#This Row],[SessionID]])=0,"❌ Missing","✔ OK")</f>
        <v>✔ OK</v>
      </c>
    </row>
    <row r="179" spans="1:12" x14ac:dyDescent="0.3">
      <c r="A179" t="s">
        <v>956</v>
      </c>
      <c r="B179" t="s">
        <v>656</v>
      </c>
      <c r="C179" t="str">
        <f>IF(SessionMovements[[#This Row],[MovementID]]="","",
   _xlfn.XLOOKUP(SessionMovements[[#This Row],[MovementID]],MovementLibrary[MovementID],MovementLibrary[Name],"")
)</f>
        <v>Clean High Pull</v>
      </c>
      <c r="D179" s="5" t="str">
        <f>IF(SessionMovements[[#This Row],[MovementID]]="","",
   _xlfn.XLOOKUP(SessionMovements[[#This Row],[MovementID]], MovementLibrary[MovementID], MovementLibrary[Modality], "")
)</f>
        <v>Barbell</v>
      </c>
      <c r="E179" s="5" t="str">
        <f>IF(SessionMovements[[#This Row],[MovementID]]="","",
   _xlfn.XLOOKUP(SessionMovements[[#This Row],[MovementID]], MovementLibrary[MovementID], MovementLibrary[Unit], "")
)</f>
        <v>kg</v>
      </c>
      <c r="F1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79">
        <v>5</v>
      </c>
      <c r="H179">
        <v>3</v>
      </c>
      <c r="K179" t="s">
        <v>955</v>
      </c>
      <c r="L179" s="5" t="str">
        <f>IF(COUNTIF(Sessions[SessionID],SessionMovements[[#This Row],[SessionID]])=0,"❌ Missing","✔ OK")</f>
        <v>✔ OK</v>
      </c>
    </row>
    <row r="180" spans="1:12" x14ac:dyDescent="0.3">
      <c r="A180" t="s">
        <v>956</v>
      </c>
      <c r="B180" t="s">
        <v>290</v>
      </c>
      <c r="C180" t="str">
        <f>IF(SessionMovements[[#This Row],[MovementID]]="","",
   _xlfn.XLOOKUP(SessionMovements[[#This Row],[MovementID]],MovementLibrary[MovementID],MovementLibrary[Name],"")
)</f>
        <v>Push Jerk</v>
      </c>
      <c r="D180" s="5" t="str">
        <f>IF(SessionMovements[[#This Row],[MovementID]]="","",
   _xlfn.XLOOKUP(SessionMovements[[#This Row],[MovementID]], MovementLibrary[MovementID], MovementLibrary[Modality], "")
)</f>
        <v>Barbell</v>
      </c>
      <c r="E180" s="5" t="str">
        <f>IF(SessionMovements[[#This Row],[MovementID]]="","",
   _xlfn.XLOOKUP(SessionMovements[[#This Row],[MovementID]], MovementLibrary[MovementID], MovementLibrary[Unit], "")
)</f>
        <v>kg</v>
      </c>
      <c r="F1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0">
        <v>6</v>
      </c>
      <c r="H180">
        <v>3</v>
      </c>
      <c r="K180" t="s">
        <v>955</v>
      </c>
      <c r="L180" s="5" t="str">
        <f>IF(COUNTIF(Sessions[SessionID],SessionMovements[[#This Row],[SessionID]])=0,"❌ Missing","✔ OK")</f>
        <v>✔ OK</v>
      </c>
    </row>
    <row r="181" spans="1:12" x14ac:dyDescent="0.3">
      <c r="A181" t="s">
        <v>956</v>
      </c>
      <c r="B181" t="s">
        <v>262</v>
      </c>
      <c r="C181" t="str">
        <f>IF(SessionMovements[[#This Row],[MovementID]]="","",
   _xlfn.XLOOKUP(SessionMovements[[#This Row],[MovementID]],MovementLibrary[MovementID],MovementLibrary[Name],"")
)</f>
        <v>Strict Press</v>
      </c>
      <c r="D181" s="5" t="str">
        <f>IF(SessionMovements[[#This Row],[MovementID]]="","",
   _xlfn.XLOOKUP(SessionMovements[[#This Row],[MovementID]], MovementLibrary[MovementID], MovementLibrary[Modality], "")
)</f>
        <v>Barbell</v>
      </c>
      <c r="E181" s="5" t="str">
        <f>IF(SessionMovements[[#This Row],[MovementID]]="","",
   _xlfn.XLOOKUP(SessionMovements[[#This Row],[MovementID]], MovementLibrary[MovementID], MovementLibrary[Unit], "")
)</f>
        <v>kg</v>
      </c>
      <c r="F1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1">
        <v>5</v>
      </c>
      <c r="H181">
        <v>4</v>
      </c>
      <c r="K181" t="s">
        <v>955</v>
      </c>
      <c r="L181" s="5" t="str">
        <f>IF(COUNTIF(Sessions[SessionID],SessionMovements[[#This Row],[SessionID]])=0,"❌ Missing","✔ OK")</f>
        <v>✔ OK</v>
      </c>
    </row>
    <row r="182" spans="1:12" x14ac:dyDescent="0.3">
      <c r="A182" t="s">
        <v>956</v>
      </c>
      <c r="B182" t="s">
        <v>684</v>
      </c>
      <c r="C182" t="str">
        <f>IF(SessionMovements[[#This Row],[MovementID]]="","",
   _xlfn.XLOOKUP(SessionMovements[[#This Row],[MovementID]],MovementLibrary[MovementID],MovementLibrary[Name],"")
)</f>
        <v>Weighted Pull-Up</v>
      </c>
      <c r="D182" s="5" t="str">
        <f>IF(SessionMovements[[#This Row],[MovementID]]="","",
   _xlfn.XLOOKUP(SessionMovements[[#This Row],[MovementID]], MovementLibrary[MovementID], MovementLibrary[Modality], "")
)</f>
        <v>Gymnastics</v>
      </c>
      <c r="E182" s="5" t="str">
        <f>IF(SessionMovements[[#This Row],[MovementID]]="","",
   _xlfn.XLOOKUP(SessionMovements[[#This Row],[MovementID]], MovementLibrary[MovementID], MovementLibrary[Unit], "")
)</f>
        <v>kg</v>
      </c>
      <c r="F1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2">
        <v>3</v>
      </c>
      <c r="H182">
        <v>5</v>
      </c>
      <c r="L182" s="5" t="str">
        <f>IF(COUNTIF(Sessions[SessionID],SessionMovements[[#This Row],[SessionID]])=0,"❌ Missing","✔ OK")</f>
        <v>✔ OK</v>
      </c>
    </row>
    <row r="183" spans="1:12" x14ac:dyDescent="0.3">
      <c r="A183" t="s">
        <v>956</v>
      </c>
      <c r="B183" t="s">
        <v>524</v>
      </c>
      <c r="C183" t="str">
        <f>IF(SessionMovements[[#This Row],[MovementID]]="","",
   _xlfn.XLOOKUP(SessionMovements[[#This Row],[MovementID]],MovementLibrary[MovementID],MovementLibrary[Name],"")
)</f>
        <v>Chin-Over-Bar Hold</v>
      </c>
      <c r="D183" s="5" t="str">
        <f>IF(SessionMovements[[#This Row],[MovementID]]="","",
   _xlfn.XLOOKUP(SessionMovements[[#This Row],[MovementID]], MovementLibrary[MovementID], MovementLibrary[Modality], "")
)</f>
        <v>Gymnastics</v>
      </c>
      <c r="E183" s="5" t="str">
        <f>IF(SessionMovements[[#This Row],[MovementID]]="","",
   _xlfn.XLOOKUP(SessionMovements[[#This Row],[MovementID]], MovementLibrary[MovementID], MovementLibrary[Unit], "")
)</f>
        <v>sec</v>
      </c>
      <c r="F1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3">
        <v>3</v>
      </c>
      <c r="H183">
        <v>10</v>
      </c>
      <c r="L183" s="5" t="str">
        <f>IF(COUNTIF(Sessions[SessionID],SessionMovements[[#This Row],[SessionID]])=0,"❌ Missing","✔ OK")</f>
        <v>✔ OK</v>
      </c>
    </row>
    <row r="184" spans="1:12" x14ac:dyDescent="0.3">
      <c r="A184" t="s">
        <v>956</v>
      </c>
      <c r="B184" t="s">
        <v>756</v>
      </c>
      <c r="C184" t="str">
        <f>IF(SessionMovements[[#This Row],[MovementID]]="","",
   _xlfn.XLOOKUP(SessionMovements[[#This Row],[MovementID]],MovementLibrary[MovementID],MovementLibrary[Name],"")
)</f>
        <v>Ab Wheel Rollout</v>
      </c>
      <c r="D184" s="5" t="str">
        <f>IF(SessionMovements[[#This Row],[MovementID]]="","",
   _xlfn.XLOOKUP(SessionMovements[[#This Row],[MovementID]], MovementLibrary[MovementID], MovementLibrary[Modality], "")
)</f>
        <v>Gymnastics</v>
      </c>
      <c r="E184" s="5" t="str">
        <f>IF(SessionMovements[[#This Row],[MovementID]]="","",
   _xlfn.XLOOKUP(SessionMovements[[#This Row],[MovementID]], MovementLibrary[MovementID], MovementLibrary[Unit], "")
)</f>
        <v>reps</v>
      </c>
      <c r="F1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4">
        <v>3</v>
      </c>
      <c r="H184">
        <v>10</v>
      </c>
      <c r="L184" s="5" t="str">
        <f>IF(COUNTIF(Sessions[SessionID],SessionMovements[[#This Row],[SessionID]])=0,"❌ Missing","✔ OK")</f>
        <v>✔ OK</v>
      </c>
    </row>
    <row r="185" spans="1:12" x14ac:dyDescent="0.3">
      <c r="A185" t="s">
        <v>957</v>
      </c>
      <c r="B185" t="s">
        <v>261</v>
      </c>
      <c r="C185" t="str">
        <f>IF(SessionMovements[[#This Row],[MovementID]]="","",
   _xlfn.XLOOKUP(SessionMovements[[#This Row],[MovementID]],MovementLibrary[MovementID],MovementLibrary[Name],"")
)</f>
        <v>Clean &amp; Jerk</v>
      </c>
      <c r="D185" s="5" t="str">
        <f>IF(SessionMovements[[#This Row],[MovementID]]="","",
   _xlfn.XLOOKUP(SessionMovements[[#This Row],[MovementID]], MovementLibrary[MovementID], MovementLibrary[Modality], "")
)</f>
        <v>Barbell</v>
      </c>
      <c r="E185" s="5" t="str">
        <f>IF(SessionMovements[[#This Row],[MovementID]]="","",
   _xlfn.XLOOKUP(SessionMovements[[#This Row],[MovementID]], MovementLibrary[MovementID], MovementLibrary[Unit], "")
)</f>
        <v>kg</v>
      </c>
      <c r="F1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5">
        <v>6</v>
      </c>
      <c r="H185" t="s">
        <v>943</v>
      </c>
      <c r="J185">
        <v>80</v>
      </c>
      <c r="L185" s="5" t="str">
        <f>IF(COUNTIF(Sessions[SessionID],SessionMovements[[#This Row],[SessionID]])=0,"❌ Missing","✔ OK")</f>
        <v>✔ OK</v>
      </c>
    </row>
    <row r="186" spans="1:12" x14ac:dyDescent="0.3">
      <c r="A186" t="s">
        <v>957</v>
      </c>
      <c r="B186" t="s">
        <v>537</v>
      </c>
      <c r="C186" t="str">
        <f>IF(SessionMovements[[#This Row],[MovementID]]="","",
   _xlfn.XLOOKUP(SessionMovements[[#This Row],[MovementID]],MovementLibrary[MovementID],MovementLibrary[Name],"")
)</f>
        <v>Clean Pull</v>
      </c>
      <c r="D186" s="5" t="str">
        <f>IF(SessionMovements[[#This Row],[MovementID]]="","",
   _xlfn.XLOOKUP(SessionMovements[[#This Row],[MovementID]], MovementLibrary[MovementID], MovementLibrary[Modality], "")
)</f>
        <v>Barbell</v>
      </c>
      <c r="E186" s="5" t="str">
        <f>IF(SessionMovements[[#This Row],[MovementID]]="","",
   _xlfn.XLOOKUP(SessionMovements[[#This Row],[MovementID]], MovementLibrary[MovementID], MovementLibrary[Unit], "")
)</f>
        <v>kg</v>
      </c>
      <c r="F1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6">
        <v>5</v>
      </c>
      <c r="H186">
        <v>4</v>
      </c>
      <c r="K186" t="s">
        <v>958</v>
      </c>
      <c r="L186" s="5" t="str">
        <f>IF(COUNTIF(Sessions[SessionID],SessionMovements[[#This Row],[SessionID]])=0,"❌ Missing","✔ OK")</f>
        <v>✔ OK</v>
      </c>
    </row>
    <row r="187" spans="1:12" x14ac:dyDescent="0.3">
      <c r="A187" t="s">
        <v>957</v>
      </c>
      <c r="B187" t="s">
        <v>298</v>
      </c>
      <c r="C187" t="str">
        <f>IF(SessionMovements[[#This Row],[MovementID]]="","",
   _xlfn.XLOOKUP(SessionMovements[[#This Row],[MovementID]],MovementLibrary[MovementID],MovementLibrary[Name],"")
)</f>
        <v>Back Squat</v>
      </c>
      <c r="D187" s="5" t="str">
        <f>IF(SessionMovements[[#This Row],[MovementID]]="","",
   _xlfn.XLOOKUP(SessionMovements[[#This Row],[MovementID]], MovementLibrary[MovementID], MovementLibrary[Modality], "")
)</f>
        <v>Barbell</v>
      </c>
      <c r="E187" s="5" t="str">
        <f>IF(SessionMovements[[#This Row],[MovementID]]="","",
   _xlfn.XLOOKUP(SessionMovements[[#This Row],[MovementID]], MovementLibrary[MovementID], MovementLibrary[Unit], "")
)</f>
        <v>kg</v>
      </c>
      <c r="F1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7">
        <v>5</v>
      </c>
      <c r="H187">
        <v>3</v>
      </c>
      <c r="J187">
        <v>80</v>
      </c>
      <c r="L187" s="5" t="str">
        <f>IF(COUNTIF(Sessions[SessionID],SessionMovements[[#This Row],[SessionID]])=0,"❌ Missing","✔ OK")</f>
        <v>✔ OK</v>
      </c>
    </row>
    <row r="188" spans="1:12" x14ac:dyDescent="0.3">
      <c r="A188" t="s">
        <v>957</v>
      </c>
      <c r="B188" t="s">
        <v>771</v>
      </c>
      <c r="C188" t="str">
        <f>IF(SessionMovements[[#This Row],[MovementID]]="","",
   _xlfn.XLOOKUP(SessionMovements[[#This Row],[MovementID]],MovementLibrary[MovementID],MovementLibrary[Name],"")
)</f>
        <v>Ring MU Transition</v>
      </c>
      <c r="D188" s="5" t="str">
        <f>IF(SessionMovements[[#This Row],[MovementID]]="","",
   _xlfn.XLOOKUP(SessionMovements[[#This Row],[MovementID]], MovementLibrary[MovementID], MovementLibrary[Modality], "")
)</f>
        <v>Gymnastics</v>
      </c>
      <c r="E188" s="5" t="str">
        <f>IF(SessionMovements[[#This Row],[MovementID]]="","",
   _xlfn.XLOOKUP(SessionMovements[[#This Row],[MovementID]], MovementLibrary[MovementID], MovementLibrary[Unit], "")
)</f>
        <v>reps</v>
      </c>
      <c r="F1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8">
        <v>3</v>
      </c>
      <c r="H188">
        <v>3</v>
      </c>
      <c r="L188" s="5" t="str">
        <f>IF(COUNTIF(Sessions[SessionID],SessionMovements[[#This Row],[SessionID]])=0,"❌ Missing","✔ OK")</f>
        <v>✔ OK</v>
      </c>
    </row>
    <row r="189" spans="1:12" x14ac:dyDescent="0.3">
      <c r="A189" t="s">
        <v>957</v>
      </c>
      <c r="B189" t="s">
        <v>777</v>
      </c>
      <c r="C189" t="str">
        <f>IF(SessionMovements[[#This Row],[MovementID]]="","",
   _xlfn.XLOOKUP(SessionMovements[[#This Row],[MovementID]],MovementLibrary[MovementID],MovementLibrary[Name],"")
)</f>
        <v>Ring Dip Bottom Hold</v>
      </c>
      <c r="D189" s="5" t="str">
        <f>IF(SessionMovements[[#This Row],[MovementID]]="","",
   _xlfn.XLOOKUP(SessionMovements[[#This Row],[MovementID]], MovementLibrary[MovementID], MovementLibrary[Modality], "")
)</f>
        <v>Gymnastics</v>
      </c>
      <c r="E189" s="5" t="str">
        <f>IF(SessionMovements[[#This Row],[MovementID]]="","",
   _xlfn.XLOOKUP(SessionMovements[[#This Row],[MovementID]], MovementLibrary[MovementID], MovementLibrary[Unit], "")
)</f>
        <v>sec</v>
      </c>
      <c r="F1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89">
        <v>3</v>
      </c>
      <c r="H189">
        <v>15</v>
      </c>
      <c r="L189" s="5" t="str">
        <f>IF(COUNTIF(Sessions[SessionID],SessionMovements[[#This Row],[SessionID]])=0,"❌ Missing","✔ OK")</f>
        <v>✔ OK</v>
      </c>
    </row>
    <row r="190" spans="1:12" x14ac:dyDescent="0.3">
      <c r="A190" t="s">
        <v>957</v>
      </c>
      <c r="B190" t="s">
        <v>530</v>
      </c>
      <c r="C190" t="str">
        <f>IF(SessionMovements[[#This Row],[MovementID]]="","",
   _xlfn.XLOOKUP(SessionMovements[[#This Row],[MovementID]],MovementLibrary[MovementID],MovementLibrary[Name],"")
)</f>
        <v>Hollow Hold</v>
      </c>
      <c r="D190" s="5" t="str">
        <f>IF(SessionMovements[[#This Row],[MovementID]]="","",
   _xlfn.XLOOKUP(SessionMovements[[#This Row],[MovementID]], MovementLibrary[MovementID], MovementLibrary[Modality], "")
)</f>
        <v>Gymnastics</v>
      </c>
      <c r="E190" s="5" t="str">
        <f>IF(SessionMovements[[#This Row],[MovementID]]="","",
   _xlfn.XLOOKUP(SessionMovements[[#This Row],[MovementID]], MovementLibrary[MovementID], MovementLibrary[Unit], "")
)</f>
        <v>sec</v>
      </c>
      <c r="F1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0">
        <v>3</v>
      </c>
      <c r="H190" t="s">
        <v>948</v>
      </c>
      <c r="L190" s="5" t="str">
        <f>IF(COUNTIF(Sessions[SessionID],SessionMovements[[#This Row],[SessionID]])=0,"❌ Missing","✔ OK")</f>
        <v>✔ OK</v>
      </c>
    </row>
    <row r="191" spans="1:12" x14ac:dyDescent="0.3">
      <c r="A191" t="s">
        <v>959</v>
      </c>
      <c r="B191" t="s">
        <v>668</v>
      </c>
      <c r="C191" t="str">
        <f>IF(SessionMovements[[#This Row],[MovementID]]="","",
   _xlfn.XLOOKUP(SessionMovements[[#This Row],[MovementID]],MovementLibrary[MovementID],MovementLibrary[Name],"")
)</f>
        <v>Power Snatch + OHS (Complex)</v>
      </c>
      <c r="D191" s="5" t="str">
        <f>IF(SessionMovements[[#This Row],[MovementID]]="","",
   _xlfn.XLOOKUP(SessionMovements[[#This Row],[MovementID]], MovementLibrary[MovementID], MovementLibrary[Modality], "")
)</f>
        <v>Barbell</v>
      </c>
      <c r="E191" s="5" t="str">
        <f>IF(SessionMovements[[#This Row],[MovementID]]="","",
   _xlfn.XLOOKUP(SessionMovements[[#This Row],[MovementID]], MovementLibrary[MovementID], MovementLibrary[Unit], "")
)</f>
        <v>kg</v>
      </c>
      <c r="F1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1">
        <v>6</v>
      </c>
      <c r="H191" t="s">
        <v>943</v>
      </c>
      <c r="K191" t="s">
        <v>960</v>
      </c>
      <c r="L191" s="5" t="str">
        <f>IF(COUNTIF(Sessions[SessionID],SessionMovements[[#This Row],[SessionID]])=0,"❌ Missing","✔ OK")</f>
        <v>✔ OK</v>
      </c>
    </row>
    <row r="192" spans="1:12" x14ac:dyDescent="0.3">
      <c r="A192" t="s">
        <v>959</v>
      </c>
      <c r="B192" t="s">
        <v>659</v>
      </c>
      <c r="C192" t="str">
        <f>IF(SessionMovements[[#This Row],[MovementID]]="","",
   _xlfn.XLOOKUP(SessionMovements[[#This Row],[MovementID]],MovementLibrary[MovementID],MovementLibrary[Name],"")
)</f>
        <v>Snatch High Pull</v>
      </c>
      <c r="D192" s="5" t="str">
        <f>IF(SessionMovements[[#This Row],[MovementID]]="","",
   _xlfn.XLOOKUP(SessionMovements[[#This Row],[MovementID]], MovementLibrary[MovementID], MovementLibrary[Modality], "")
)</f>
        <v>Barbell</v>
      </c>
      <c r="E192" s="5" t="str">
        <f>IF(SessionMovements[[#This Row],[MovementID]]="","",
   _xlfn.XLOOKUP(SessionMovements[[#This Row],[MovementID]], MovementLibrary[MovementID], MovementLibrary[Unit], "")
)</f>
        <v>kg</v>
      </c>
      <c r="F1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2">
        <v>5</v>
      </c>
      <c r="H192">
        <v>3</v>
      </c>
      <c r="K192" t="s">
        <v>960</v>
      </c>
      <c r="L192" s="5" t="str">
        <f>IF(COUNTIF(Sessions[SessionID],SessionMovements[[#This Row],[SessionID]])=0,"❌ Missing","✔ OK")</f>
        <v>✔ OK</v>
      </c>
    </row>
    <row r="193" spans="1:12" x14ac:dyDescent="0.3">
      <c r="A193" t="s">
        <v>959</v>
      </c>
      <c r="B193" t="s">
        <v>296</v>
      </c>
      <c r="C193" t="str">
        <f>IF(SessionMovements[[#This Row],[MovementID]]="","",
   _xlfn.XLOOKUP(SessionMovements[[#This Row],[MovementID]],MovementLibrary[MovementID],MovementLibrary[Name],"")
)</f>
        <v>Front Squat</v>
      </c>
      <c r="D193" s="5" t="str">
        <f>IF(SessionMovements[[#This Row],[MovementID]]="","",
   _xlfn.XLOOKUP(SessionMovements[[#This Row],[MovementID]], MovementLibrary[MovementID], MovementLibrary[Modality], "")
)</f>
        <v>Barbell</v>
      </c>
      <c r="E193" s="5" t="str">
        <f>IF(SessionMovements[[#This Row],[MovementID]]="","",
   _xlfn.XLOOKUP(SessionMovements[[#This Row],[MovementID]], MovementLibrary[MovementID], MovementLibrary[Unit], "")
)</f>
        <v>kg</v>
      </c>
      <c r="F1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3">
        <v>5</v>
      </c>
      <c r="H193">
        <v>3</v>
      </c>
      <c r="J193">
        <v>80</v>
      </c>
      <c r="L193" s="5" t="str">
        <f>IF(COUNTIF(Sessions[SessionID],SessionMovements[[#This Row],[SessionID]])=0,"❌ Missing","✔ OK")</f>
        <v>✔ OK</v>
      </c>
    </row>
    <row r="194" spans="1:12" x14ac:dyDescent="0.3">
      <c r="A194" t="s">
        <v>959</v>
      </c>
      <c r="B194" t="s">
        <v>671</v>
      </c>
      <c r="C194" t="str">
        <f>IF(SessionMovements[[#This Row],[MovementID]]="","",
   _xlfn.XLOOKUP(SessionMovements[[#This Row],[MovementID]],MovementLibrary[MovementID],MovementLibrary[Name],"")
)</f>
        <v>Snatch Press (Behind-the-neck)</v>
      </c>
      <c r="D194" s="5" t="str">
        <f>IF(SessionMovements[[#This Row],[MovementID]]="","",
   _xlfn.XLOOKUP(SessionMovements[[#This Row],[MovementID]], MovementLibrary[MovementID], MovementLibrary[Modality], "")
)</f>
        <v>Barbell</v>
      </c>
      <c r="E194" s="5" t="str">
        <f>IF(SessionMovements[[#This Row],[MovementID]]="","",
   _xlfn.XLOOKUP(SessionMovements[[#This Row],[MovementID]], MovementLibrary[MovementID], MovementLibrary[Unit], "")
)</f>
        <v>kg</v>
      </c>
      <c r="F1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4">
        <v>5</v>
      </c>
      <c r="H194">
        <v>4</v>
      </c>
      <c r="K194" t="s">
        <v>951</v>
      </c>
      <c r="L194" s="5" t="str">
        <f>IF(COUNTIF(Sessions[SessionID],SessionMovements[[#This Row],[SessionID]])=0,"❌ Missing","✔ OK")</f>
        <v>✔ OK</v>
      </c>
    </row>
    <row r="195" spans="1:12" x14ac:dyDescent="0.3">
      <c r="A195" t="s">
        <v>959</v>
      </c>
      <c r="B195" t="s">
        <v>527</v>
      </c>
      <c r="C195" t="str">
        <f>IF(SessionMovements[[#This Row],[MovementID]]="","",
   _xlfn.XLOOKUP(SessionMovements[[#This Row],[MovementID]],MovementLibrary[MovementID],MovementLibrary[Name],"")
)</f>
        <v>L-Sit Hold</v>
      </c>
      <c r="D195" s="5" t="str">
        <f>IF(SessionMovements[[#This Row],[MovementID]]="","",
   _xlfn.XLOOKUP(SessionMovements[[#This Row],[MovementID]], MovementLibrary[MovementID], MovementLibrary[Modality], "")
)</f>
        <v>Gymnastics</v>
      </c>
      <c r="E195" s="5" t="str">
        <f>IF(SessionMovements[[#This Row],[MovementID]]="","",
   _xlfn.XLOOKUP(SessionMovements[[#This Row],[MovementID]], MovementLibrary[MovementID], MovementLibrary[Unit], "")
)</f>
        <v>sec</v>
      </c>
      <c r="F1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5">
        <v>3</v>
      </c>
      <c r="H195">
        <v>5</v>
      </c>
      <c r="K195" t="s">
        <v>952</v>
      </c>
      <c r="L195" s="5" t="str">
        <f>IF(COUNTIF(Sessions[SessionID],SessionMovements[[#This Row],[SessionID]])=0,"❌ Missing","✔ OK")</f>
        <v>✔ OK</v>
      </c>
    </row>
    <row r="196" spans="1:12" x14ac:dyDescent="0.3">
      <c r="A196" t="s">
        <v>959</v>
      </c>
      <c r="B196" t="s">
        <v>783</v>
      </c>
      <c r="C196" t="str">
        <f>IF(SessionMovements[[#This Row],[MovementID]]="","",
   _xlfn.XLOOKUP(SessionMovements[[#This Row],[MovementID]],MovementLibrary[MovementID],MovementLibrary[Name],"")
)</f>
        <v>Scap Pull (Bar/Rings)</v>
      </c>
      <c r="D196" s="5" t="str">
        <f>IF(SessionMovements[[#This Row],[MovementID]]="","",
   _xlfn.XLOOKUP(SessionMovements[[#This Row],[MovementID]], MovementLibrary[MovementID], MovementLibrary[Modality], "")
)</f>
        <v>Gymnastics</v>
      </c>
      <c r="E196" s="5" t="str">
        <f>IF(SessionMovements[[#This Row],[MovementID]]="","",
   _xlfn.XLOOKUP(SessionMovements[[#This Row],[MovementID]], MovementLibrary[MovementID], MovementLibrary[Unit], "")
)</f>
        <v>reps</v>
      </c>
      <c r="F1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6">
        <v>3</v>
      </c>
      <c r="H196" t="s">
        <v>948</v>
      </c>
      <c r="K196" t="s">
        <v>953</v>
      </c>
      <c r="L196" s="5" t="str">
        <f>IF(COUNTIF(Sessions[SessionID],SessionMovements[[#This Row],[SessionID]])=0,"❌ Missing","✔ OK")</f>
        <v>✔ OK</v>
      </c>
    </row>
    <row r="197" spans="1:12" x14ac:dyDescent="0.3">
      <c r="A197" t="s">
        <v>959</v>
      </c>
      <c r="B197" t="s">
        <v>735</v>
      </c>
      <c r="C197" t="str">
        <f>IF(SessionMovements[[#This Row],[MovementID]]="","",
   _xlfn.XLOOKUP(SessionMovements[[#This Row],[MovementID]],MovementLibrary[MovementID],MovementLibrary[Name],"")
)</f>
        <v>Hollow Rock</v>
      </c>
      <c r="D197" s="5" t="str">
        <f>IF(SessionMovements[[#This Row],[MovementID]]="","",
   _xlfn.XLOOKUP(SessionMovements[[#This Row],[MovementID]], MovementLibrary[MovementID], MovementLibrary[Modality], "")
)</f>
        <v>Gymnastics</v>
      </c>
      <c r="E197" s="5" t="str">
        <f>IF(SessionMovements[[#This Row],[MovementID]]="","",
   _xlfn.XLOOKUP(SessionMovements[[#This Row],[MovementID]], MovementLibrary[MovementID], MovementLibrary[Unit], "")
)</f>
        <v>reps</v>
      </c>
      <c r="F1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7">
        <v>3</v>
      </c>
      <c r="H197">
        <v>15</v>
      </c>
      <c r="L197" s="5" t="str">
        <f>IF(COUNTIF(Sessions[SessionID],SessionMovements[[#This Row],[SessionID]])=0,"❌ Missing","✔ OK")</f>
        <v>✔ OK</v>
      </c>
    </row>
    <row r="198" spans="1:12" x14ac:dyDescent="0.3">
      <c r="A198" t="s">
        <v>961</v>
      </c>
      <c r="B198" t="s">
        <v>260</v>
      </c>
      <c r="C198" t="str">
        <f>IF(SessionMovements[[#This Row],[MovementID]]="","",
   _xlfn.XLOOKUP(SessionMovements[[#This Row],[MovementID]],MovementLibrary[MovementID],MovementLibrary[Name],"")
)</f>
        <v>Snatch</v>
      </c>
      <c r="D198" s="5" t="str">
        <f>IF(SessionMovements[[#This Row],[MovementID]]="","",
   _xlfn.XLOOKUP(SessionMovements[[#This Row],[MovementID]], MovementLibrary[MovementID], MovementLibrary[Modality], "")
)</f>
        <v>Barbell</v>
      </c>
      <c r="E198" s="5" t="str">
        <f>IF(SessionMovements[[#This Row],[MovementID]]="","",
   _xlfn.XLOOKUP(SessionMovements[[#This Row],[MovementID]], MovementLibrary[MovementID], MovementLibrary[Unit], "")
)</f>
        <v>kg</v>
      </c>
      <c r="F1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8">
        <v>6</v>
      </c>
      <c r="H198">
        <v>2</v>
      </c>
      <c r="J198">
        <v>72</v>
      </c>
      <c r="L198" s="5" t="str">
        <f>IF(COUNTIF(Sessions[SessionID],SessionMovements[[#This Row],[SessionID]])=0,"❌ Missing","✔ OK")</f>
        <v>✔ OK</v>
      </c>
    </row>
    <row r="199" spans="1:12" x14ac:dyDescent="0.3">
      <c r="A199" t="s">
        <v>961</v>
      </c>
      <c r="B199" t="s">
        <v>534</v>
      </c>
      <c r="C199" t="str">
        <f>IF(SessionMovements[[#This Row],[MovementID]]="","",
   _xlfn.XLOOKUP(SessionMovements[[#This Row],[MovementID]],MovementLibrary[MovementID],MovementLibrary[Name],"")
)</f>
        <v>Snatch Pull</v>
      </c>
      <c r="D199" s="5" t="str">
        <f>IF(SessionMovements[[#This Row],[MovementID]]="","",
   _xlfn.XLOOKUP(SessionMovements[[#This Row],[MovementID]], MovementLibrary[MovementID], MovementLibrary[Modality], "")
)</f>
        <v>Barbell</v>
      </c>
      <c r="E199" s="5" t="str">
        <f>IF(SessionMovements[[#This Row],[MovementID]]="","",
   _xlfn.XLOOKUP(SessionMovements[[#This Row],[MovementID]], MovementLibrary[MovementID], MovementLibrary[Unit], "")
)</f>
        <v>kg</v>
      </c>
      <c r="F1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99">
        <v>5</v>
      </c>
      <c r="H199">
        <v>4</v>
      </c>
      <c r="K199" t="s">
        <v>962</v>
      </c>
      <c r="L199" s="5" t="str">
        <f>IF(COUNTIF(Sessions[SessionID],SessionMovements[[#This Row],[SessionID]])=0,"❌ Missing","✔ OK")</f>
        <v>✔ OK</v>
      </c>
    </row>
    <row r="200" spans="1:12" x14ac:dyDescent="0.3">
      <c r="A200" t="s">
        <v>961</v>
      </c>
      <c r="B200" t="s">
        <v>258</v>
      </c>
      <c r="C200" t="str">
        <f>IF(SessionMovements[[#This Row],[MovementID]]="","",
   _xlfn.XLOOKUP(SessionMovements[[#This Row],[MovementID]],MovementLibrary[MovementID],MovementLibrary[Name],"")
)</f>
        <v>Overhead Squat</v>
      </c>
      <c r="D200" s="5" t="str">
        <f>IF(SessionMovements[[#This Row],[MovementID]]="","",
   _xlfn.XLOOKUP(SessionMovements[[#This Row],[MovementID]], MovementLibrary[MovementID], MovementLibrary[Modality], "")
)</f>
        <v>Barbell</v>
      </c>
      <c r="E200" s="5" t="str">
        <f>IF(SessionMovements[[#This Row],[MovementID]]="","",
   _xlfn.XLOOKUP(SessionMovements[[#This Row],[MovementID]], MovementLibrary[MovementID], MovementLibrary[Unit], "")
)</f>
        <v>kg</v>
      </c>
      <c r="F2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0">
        <v>5</v>
      </c>
      <c r="H200">
        <v>3</v>
      </c>
      <c r="J200">
        <v>80</v>
      </c>
      <c r="L200" s="5" t="str">
        <f>IF(COUNTIF(Sessions[SessionID],SessionMovements[[#This Row],[SessionID]])=0,"❌ Missing","✔ OK")</f>
        <v>✔ OK</v>
      </c>
    </row>
    <row r="201" spans="1:12" x14ac:dyDescent="0.3">
      <c r="A201" t="s">
        <v>961</v>
      </c>
      <c r="B201" t="s">
        <v>298</v>
      </c>
      <c r="C201" t="str">
        <f>IF(SessionMovements[[#This Row],[MovementID]]="","",
   _xlfn.XLOOKUP(SessionMovements[[#This Row],[MovementID]],MovementLibrary[MovementID],MovementLibrary[Name],"")
)</f>
        <v>Back Squat</v>
      </c>
      <c r="D201" s="5" t="str">
        <f>IF(SessionMovements[[#This Row],[MovementID]]="","",
   _xlfn.XLOOKUP(SessionMovements[[#This Row],[MovementID]], MovementLibrary[MovementID], MovementLibrary[Modality], "")
)</f>
        <v>Barbell</v>
      </c>
      <c r="E201" s="5" t="str">
        <f>IF(SessionMovements[[#This Row],[MovementID]]="","",
   _xlfn.XLOOKUP(SessionMovements[[#This Row],[MovementID]], MovementLibrary[MovementID], MovementLibrary[Unit], "")
)</f>
        <v>kg</v>
      </c>
      <c r="F2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1">
        <v>4</v>
      </c>
      <c r="H201">
        <v>6</v>
      </c>
      <c r="J201">
        <v>80</v>
      </c>
      <c r="L201" s="5" t="str">
        <f>IF(COUNTIF(Sessions[SessionID],SessionMovements[[#This Row],[SessionID]])=0,"❌ Missing","✔ OK")</f>
        <v>✔ OK</v>
      </c>
    </row>
    <row r="202" spans="1:12" x14ac:dyDescent="0.3">
      <c r="A202" t="s">
        <v>961</v>
      </c>
      <c r="B202" t="s">
        <v>711</v>
      </c>
      <c r="C202" t="str">
        <f>IF(SessionMovements[[#This Row],[MovementID]]="","",
   _xlfn.XLOOKUP(SessionMovements[[#This Row],[MovementID]],MovementLibrary[MovementID],MovementLibrary[Name],"")
)</f>
        <v>Ring Row</v>
      </c>
      <c r="D202" s="5" t="str">
        <f>IF(SessionMovements[[#This Row],[MovementID]]="","",
   _xlfn.XLOOKUP(SessionMovements[[#This Row],[MovementID]], MovementLibrary[MovementID], MovementLibrary[Modality], "")
)</f>
        <v>Gymnastics</v>
      </c>
      <c r="E202" s="5" t="str">
        <f>IF(SessionMovements[[#This Row],[MovementID]]="","",
   _xlfn.XLOOKUP(SessionMovements[[#This Row],[MovementID]], MovementLibrary[MovementID], MovementLibrary[Unit], "")
)</f>
        <v>reps</v>
      </c>
      <c r="F2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2">
        <v>3</v>
      </c>
      <c r="H202">
        <v>8</v>
      </c>
      <c r="L202" s="5" t="str">
        <f>IF(COUNTIF(Sessions[SessionID],SessionMovements[[#This Row],[SessionID]])=0,"❌ Missing","✔ OK")</f>
        <v>✔ OK</v>
      </c>
    </row>
    <row r="203" spans="1:12" x14ac:dyDescent="0.3">
      <c r="A203" t="s">
        <v>961</v>
      </c>
      <c r="B203" t="s">
        <v>786</v>
      </c>
      <c r="C203" t="str">
        <f>IF(SessionMovements[[#This Row],[MovementID]]="","",
   _xlfn.XLOOKUP(SessionMovements[[#This Row],[MovementID]],MovementLibrary[MovementID],MovementLibrary[Name],"")
)</f>
        <v>Ring support hold</v>
      </c>
      <c r="D203" s="5" t="str">
        <f>IF(SessionMovements[[#This Row],[MovementID]]="","",
   _xlfn.XLOOKUP(SessionMovements[[#This Row],[MovementID]], MovementLibrary[MovementID], MovementLibrary[Modality], "")
)</f>
        <v>Gymnastics</v>
      </c>
      <c r="E203" s="5" t="str">
        <f>IF(SessionMovements[[#This Row],[MovementID]]="","",
   _xlfn.XLOOKUP(SessionMovements[[#This Row],[MovementID]], MovementLibrary[MovementID], MovementLibrary[Unit], "")
)</f>
        <v>sec</v>
      </c>
      <c r="F2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3">
        <v>3</v>
      </c>
      <c r="H203">
        <v>15</v>
      </c>
      <c r="L203" s="5" t="str">
        <f>IF(COUNTIF(Sessions[SessionID],SessionMovements[[#This Row],[SessionID]])=0,"❌ Missing","✔ OK")</f>
        <v>✔ OK</v>
      </c>
    </row>
    <row r="204" spans="1:12" x14ac:dyDescent="0.3">
      <c r="A204" t="s">
        <v>961</v>
      </c>
      <c r="B204" t="s">
        <v>756</v>
      </c>
      <c r="C204" t="str">
        <f>IF(SessionMovements[[#This Row],[MovementID]]="","",
   _xlfn.XLOOKUP(SessionMovements[[#This Row],[MovementID]],MovementLibrary[MovementID],MovementLibrary[Name],"")
)</f>
        <v>Ab Wheel Rollout</v>
      </c>
      <c r="D204" s="5" t="str">
        <f>IF(SessionMovements[[#This Row],[MovementID]]="","",
   _xlfn.XLOOKUP(SessionMovements[[#This Row],[MovementID]], MovementLibrary[MovementID], MovementLibrary[Modality], "")
)</f>
        <v>Gymnastics</v>
      </c>
      <c r="E204" s="5" t="str">
        <f>IF(SessionMovements[[#This Row],[MovementID]]="","",
   _xlfn.XLOOKUP(SessionMovements[[#This Row],[MovementID]], MovementLibrary[MovementID], MovementLibrary[Unit], "")
)</f>
        <v>reps</v>
      </c>
      <c r="F2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4">
        <v>3</v>
      </c>
      <c r="H204">
        <v>10</v>
      </c>
      <c r="L204" s="5" t="str">
        <f>IF(COUNTIF(Sessions[SessionID],SessionMovements[[#This Row],[SessionID]])=0,"❌ Missing","✔ OK")</f>
        <v>✔ OK</v>
      </c>
    </row>
    <row r="205" spans="1:12" x14ac:dyDescent="0.3">
      <c r="A205" t="s">
        <v>963</v>
      </c>
      <c r="B205" t="s">
        <v>662</v>
      </c>
      <c r="C205" t="str">
        <f>IF(SessionMovements[[#This Row],[MovementID]]="","",
   _xlfn.XLOOKUP(SessionMovements[[#This Row],[MovementID]],MovementLibrary[MovementID],MovementLibrary[Name],"")
)</f>
        <v>Power Clean + Front Squat (Complex)</v>
      </c>
      <c r="D205" s="5" t="str">
        <f>IF(SessionMovements[[#This Row],[MovementID]]="","",
   _xlfn.XLOOKUP(SessionMovements[[#This Row],[MovementID]], MovementLibrary[MovementID], MovementLibrary[Modality], "")
)</f>
        <v>Barbell</v>
      </c>
      <c r="E205" s="5" t="str">
        <f>IF(SessionMovements[[#This Row],[MovementID]]="","",
   _xlfn.XLOOKUP(SessionMovements[[#This Row],[MovementID]], MovementLibrary[MovementID], MovementLibrary[Unit], "")
)</f>
        <v>kg</v>
      </c>
      <c r="F2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5">
        <v>6</v>
      </c>
      <c r="H205" t="s">
        <v>943</v>
      </c>
      <c r="K205" t="s">
        <v>964</v>
      </c>
      <c r="L205" s="5" t="str">
        <f>IF(COUNTIF(Sessions[SessionID],SessionMovements[[#This Row],[SessionID]])=0,"❌ Missing","✔ OK")</f>
        <v>✔ OK</v>
      </c>
    </row>
    <row r="206" spans="1:12" x14ac:dyDescent="0.3">
      <c r="A206" t="s">
        <v>963</v>
      </c>
      <c r="B206" t="s">
        <v>656</v>
      </c>
      <c r="C206" t="str">
        <f>IF(SessionMovements[[#This Row],[MovementID]]="","",
   _xlfn.XLOOKUP(SessionMovements[[#This Row],[MovementID]],MovementLibrary[MovementID],MovementLibrary[Name],"")
)</f>
        <v>Clean High Pull</v>
      </c>
      <c r="D206" s="5" t="str">
        <f>IF(SessionMovements[[#This Row],[MovementID]]="","",
   _xlfn.XLOOKUP(SessionMovements[[#This Row],[MovementID]], MovementLibrary[MovementID], MovementLibrary[Modality], "")
)</f>
        <v>Barbell</v>
      </c>
      <c r="E206" s="5" t="str">
        <f>IF(SessionMovements[[#This Row],[MovementID]]="","",
   _xlfn.XLOOKUP(SessionMovements[[#This Row],[MovementID]], MovementLibrary[MovementID], MovementLibrary[Unit], "")
)</f>
        <v>kg</v>
      </c>
      <c r="F2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6">
        <v>5</v>
      </c>
      <c r="H206">
        <v>3</v>
      </c>
      <c r="K206" t="s">
        <v>964</v>
      </c>
      <c r="L206" s="5" t="str">
        <f>IF(COUNTIF(Sessions[SessionID],SessionMovements[[#This Row],[SessionID]])=0,"❌ Missing","✔ OK")</f>
        <v>✔ OK</v>
      </c>
    </row>
    <row r="207" spans="1:12" x14ac:dyDescent="0.3">
      <c r="A207" t="s">
        <v>963</v>
      </c>
      <c r="B207" t="s">
        <v>290</v>
      </c>
      <c r="C207" t="str">
        <f>IF(SessionMovements[[#This Row],[MovementID]]="","",
   _xlfn.XLOOKUP(SessionMovements[[#This Row],[MovementID]],MovementLibrary[MovementID],MovementLibrary[Name],"")
)</f>
        <v>Push Jerk</v>
      </c>
      <c r="D207" s="5" t="str">
        <f>IF(SessionMovements[[#This Row],[MovementID]]="","",
   _xlfn.XLOOKUP(SessionMovements[[#This Row],[MovementID]], MovementLibrary[MovementID], MovementLibrary[Modality], "")
)</f>
        <v>Barbell</v>
      </c>
      <c r="E207" s="5" t="str">
        <f>IF(SessionMovements[[#This Row],[MovementID]]="","",
   _xlfn.XLOOKUP(SessionMovements[[#This Row],[MovementID]], MovementLibrary[MovementID], MovementLibrary[Unit], "")
)</f>
        <v>kg</v>
      </c>
      <c r="F2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7">
        <v>6</v>
      </c>
      <c r="H207">
        <v>3</v>
      </c>
      <c r="K207" t="s">
        <v>964</v>
      </c>
      <c r="L207" s="5" t="str">
        <f>IF(COUNTIF(Sessions[SessionID],SessionMovements[[#This Row],[SessionID]])=0,"❌ Missing","✔ OK")</f>
        <v>✔ OK</v>
      </c>
    </row>
    <row r="208" spans="1:12" x14ac:dyDescent="0.3">
      <c r="A208" t="s">
        <v>963</v>
      </c>
      <c r="B208" t="s">
        <v>262</v>
      </c>
      <c r="C208" t="str">
        <f>IF(SessionMovements[[#This Row],[MovementID]]="","",
   _xlfn.XLOOKUP(SessionMovements[[#This Row],[MovementID]],MovementLibrary[MovementID],MovementLibrary[Name],"")
)</f>
        <v>Strict Press</v>
      </c>
      <c r="D208" s="5" t="str">
        <f>IF(SessionMovements[[#This Row],[MovementID]]="","",
   _xlfn.XLOOKUP(SessionMovements[[#This Row],[MovementID]], MovementLibrary[MovementID], MovementLibrary[Modality], "")
)</f>
        <v>Barbell</v>
      </c>
      <c r="E208" s="5" t="str">
        <f>IF(SessionMovements[[#This Row],[MovementID]]="","",
   _xlfn.XLOOKUP(SessionMovements[[#This Row],[MovementID]], MovementLibrary[MovementID], MovementLibrary[Unit], "")
)</f>
        <v>kg</v>
      </c>
      <c r="F2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8">
        <v>5</v>
      </c>
      <c r="H208">
        <v>4</v>
      </c>
      <c r="K208" t="s">
        <v>964</v>
      </c>
      <c r="L208" s="5" t="str">
        <f>IF(COUNTIF(Sessions[SessionID],SessionMovements[[#This Row],[SessionID]])=0,"❌ Missing","✔ OK")</f>
        <v>✔ OK</v>
      </c>
    </row>
    <row r="209" spans="1:12" x14ac:dyDescent="0.3">
      <c r="A209" t="s">
        <v>963</v>
      </c>
      <c r="B209" t="s">
        <v>684</v>
      </c>
      <c r="C209" t="str">
        <f>IF(SessionMovements[[#This Row],[MovementID]]="","",
   _xlfn.XLOOKUP(SessionMovements[[#This Row],[MovementID]],MovementLibrary[MovementID],MovementLibrary[Name],"")
)</f>
        <v>Weighted Pull-Up</v>
      </c>
      <c r="D209" s="5" t="str">
        <f>IF(SessionMovements[[#This Row],[MovementID]]="","",
   _xlfn.XLOOKUP(SessionMovements[[#This Row],[MovementID]], MovementLibrary[MovementID], MovementLibrary[Modality], "")
)</f>
        <v>Gymnastics</v>
      </c>
      <c r="E209" s="5" t="str">
        <f>IF(SessionMovements[[#This Row],[MovementID]]="","",
   _xlfn.XLOOKUP(SessionMovements[[#This Row],[MovementID]], MovementLibrary[MovementID], MovementLibrary[Unit], "")
)</f>
        <v>kg</v>
      </c>
      <c r="F2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09">
        <v>3</v>
      </c>
      <c r="H209">
        <v>5</v>
      </c>
      <c r="L209" s="5" t="str">
        <f>IF(COUNTIF(Sessions[SessionID],SessionMovements[[#This Row],[SessionID]])=0,"❌ Missing","✔ OK")</f>
        <v>✔ OK</v>
      </c>
    </row>
    <row r="210" spans="1:12" x14ac:dyDescent="0.3">
      <c r="A210" t="s">
        <v>963</v>
      </c>
      <c r="B210" t="s">
        <v>524</v>
      </c>
      <c r="C210" t="str">
        <f>IF(SessionMovements[[#This Row],[MovementID]]="","",
   _xlfn.XLOOKUP(SessionMovements[[#This Row],[MovementID]],MovementLibrary[MovementID],MovementLibrary[Name],"")
)</f>
        <v>Chin-Over-Bar Hold</v>
      </c>
      <c r="D210" s="5" t="str">
        <f>IF(SessionMovements[[#This Row],[MovementID]]="","",
   _xlfn.XLOOKUP(SessionMovements[[#This Row],[MovementID]], MovementLibrary[MovementID], MovementLibrary[Modality], "")
)</f>
        <v>Gymnastics</v>
      </c>
      <c r="E210" s="5" t="str">
        <f>IF(SessionMovements[[#This Row],[MovementID]]="","",
   _xlfn.XLOOKUP(SessionMovements[[#This Row],[MovementID]], MovementLibrary[MovementID], MovementLibrary[Unit], "")
)</f>
        <v>sec</v>
      </c>
      <c r="F2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0">
        <v>3</v>
      </c>
      <c r="H210">
        <v>10</v>
      </c>
      <c r="L210" s="5" t="str">
        <f>IF(COUNTIF(Sessions[SessionID],SessionMovements[[#This Row],[SessionID]])=0,"❌ Missing","✔ OK")</f>
        <v>✔ OK</v>
      </c>
    </row>
    <row r="211" spans="1:12" x14ac:dyDescent="0.3">
      <c r="A211" t="s">
        <v>963</v>
      </c>
      <c r="B211" t="s">
        <v>756</v>
      </c>
      <c r="C211" t="str">
        <f>IF(SessionMovements[[#This Row],[MovementID]]="","",
   _xlfn.XLOOKUP(SessionMovements[[#This Row],[MovementID]],MovementLibrary[MovementID],MovementLibrary[Name],"")
)</f>
        <v>Ab Wheel Rollout</v>
      </c>
      <c r="D211" s="5" t="str">
        <f>IF(SessionMovements[[#This Row],[MovementID]]="","",
   _xlfn.XLOOKUP(SessionMovements[[#This Row],[MovementID]], MovementLibrary[MovementID], MovementLibrary[Modality], "")
)</f>
        <v>Gymnastics</v>
      </c>
      <c r="E211" s="5" t="str">
        <f>IF(SessionMovements[[#This Row],[MovementID]]="","",
   _xlfn.XLOOKUP(SessionMovements[[#This Row],[MovementID]], MovementLibrary[MovementID], MovementLibrary[Unit], "")
)</f>
        <v>reps</v>
      </c>
      <c r="F2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1">
        <v>3</v>
      </c>
      <c r="H211">
        <v>10</v>
      </c>
      <c r="L211" s="5" t="str">
        <f>IF(COUNTIF(Sessions[SessionID],SessionMovements[[#This Row],[SessionID]])=0,"❌ Missing","✔ OK")</f>
        <v>✔ OK</v>
      </c>
    </row>
    <row r="212" spans="1:12" x14ac:dyDescent="0.3">
      <c r="A212" t="s">
        <v>965</v>
      </c>
      <c r="B212" t="s">
        <v>261</v>
      </c>
      <c r="C212" t="str">
        <f>IF(SessionMovements[[#This Row],[MovementID]]="","",
   _xlfn.XLOOKUP(SessionMovements[[#This Row],[MovementID]],MovementLibrary[MovementID],MovementLibrary[Name],"")
)</f>
        <v>Clean &amp; Jerk</v>
      </c>
      <c r="D212" s="5" t="str">
        <f>IF(SessionMovements[[#This Row],[MovementID]]="","",
   _xlfn.XLOOKUP(SessionMovements[[#This Row],[MovementID]], MovementLibrary[MovementID], MovementLibrary[Modality], "")
)</f>
        <v>Barbell</v>
      </c>
      <c r="E212" s="5" t="str">
        <f>IF(SessionMovements[[#This Row],[MovementID]]="","",
   _xlfn.XLOOKUP(SessionMovements[[#This Row],[MovementID]], MovementLibrary[MovementID], MovementLibrary[Unit], "")
)</f>
        <v>kg</v>
      </c>
      <c r="F2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2">
        <v>6</v>
      </c>
      <c r="H212" t="s">
        <v>943</v>
      </c>
      <c r="J212">
        <v>85</v>
      </c>
      <c r="L212" s="5" t="str">
        <f>IF(COUNTIF(Sessions[SessionID],SessionMovements[[#This Row],[SessionID]])=0,"❌ Missing","✔ OK")</f>
        <v>✔ OK</v>
      </c>
    </row>
    <row r="213" spans="1:12" x14ac:dyDescent="0.3">
      <c r="A213" t="s">
        <v>965</v>
      </c>
      <c r="B213" t="s">
        <v>537</v>
      </c>
      <c r="C213" t="str">
        <f>IF(SessionMovements[[#This Row],[MovementID]]="","",
   _xlfn.XLOOKUP(SessionMovements[[#This Row],[MovementID]],MovementLibrary[MovementID],MovementLibrary[Name],"")
)</f>
        <v>Clean Pull</v>
      </c>
      <c r="D213" s="5" t="str">
        <f>IF(SessionMovements[[#This Row],[MovementID]]="","",
   _xlfn.XLOOKUP(SessionMovements[[#This Row],[MovementID]], MovementLibrary[MovementID], MovementLibrary[Modality], "")
)</f>
        <v>Barbell</v>
      </c>
      <c r="E213" s="5" t="str">
        <f>IF(SessionMovements[[#This Row],[MovementID]]="","",
   _xlfn.XLOOKUP(SessionMovements[[#This Row],[MovementID]], MovementLibrary[MovementID], MovementLibrary[Unit], "")
)</f>
        <v>kg</v>
      </c>
      <c r="F2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3">
        <v>5</v>
      </c>
      <c r="H213">
        <v>4</v>
      </c>
      <c r="K213" t="s">
        <v>966</v>
      </c>
      <c r="L213" s="5" t="str">
        <f>IF(COUNTIF(Sessions[SessionID],SessionMovements[[#This Row],[SessionID]])=0,"❌ Missing","✔ OK")</f>
        <v>✔ OK</v>
      </c>
    </row>
    <row r="214" spans="1:12" x14ac:dyDescent="0.3">
      <c r="A214" t="s">
        <v>965</v>
      </c>
      <c r="B214" t="s">
        <v>298</v>
      </c>
      <c r="C214" t="str">
        <f>IF(SessionMovements[[#This Row],[MovementID]]="","",
   _xlfn.XLOOKUP(SessionMovements[[#This Row],[MovementID]],MovementLibrary[MovementID],MovementLibrary[Name],"")
)</f>
        <v>Back Squat</v>
      </c>
      <c r="D214" s="5" t="str">
        <f>IF(SessionMovements[[#This Row],[MovementID]]="","",
   _xlfn.XLOOKUP(SessionMovements[[#This Row],[MovementID]], MovementLibrary[MovementID], MovementLibrary[Modality], "")
)</f>
        <v>Barbell</v>
      </c>
      <c r="E214" s="5" t="str">
        <f>IF(SessionMovements[[#This Row],[MovementID]]="","",
   _xlfn.XLOOKUP(SessionMovements[[#This Row],[MovementID]], MovementLibrary[MovementID], MovementLibrary[Unit], "")
)</f>
        <v>kg</v>
      </c>
      <c r="F2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4">
        <v>5</v>
      </c>
      <c r="H214">
        <v>3</v>
      </c>
      <c r="J214">
        <v>80</v>
      </c>
      <c r="L214" s="5" t="str">
        <f>IF(COUNTIF(Sessions[SessionID],SessionMovements[[#This Row],[SessionID]])=0,"❌ Missing","✔ OK")</f>
        <v>✔ OK</v>
      </c>
    </row>
    <row r="215" spans="1:12" x14ac:dyDescent="0.3">
      <c r="A215" t="s">
        <v>965</v>
      </c>
      <c r="B215" t="s">
        <v>771</v>
      </c>
      <c r="C215" t="str">
        <f>IF(SessionMovements[[#This Row],[MovementID]]="","",
   _xlfn.XLOOKUP(SessionMovements[[#This Row],[MovementID]],MovementLibrary[MovementID],MovementLibrary[Name],"")
)</f>
        <v>Ring MU Transition</v>
      </c>
      <c r="D215" s="5" t="str">
        <f>IF(SessionMovements[[#This Row],[MovementID]]="","",
   _xlfn.XLOOKUP(SessionMovements[[#This Row],[MovementID]], MovementLibrary[MovementID], MovementLibrary[Modality], "")
)</f>
        <v>Gymnastics</v>
      </c>
      <c r="E215" s="5" t="str">
        <f>IF(SessionMovements[[#This Row],[MovementID]]="","",
   _xlfn.XLOOKUP(SessionMovements[[#This Row],[MovementID]], MovementLibrary[MovementID], MovementLibrary[Unit], "")
)</f>
        <v>reps</v>
      </c>
      <c r="F2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5">
        <v>3</v>
      </c>
      <c r="H215">
        <v>3</v>
      </c>
      <c r="L215" s="5" t="str">
        <f>IF(COUNTIF(Sessions[SessionID],SessionMovements[[#This Row],[SessionID]])=0,"❌ Missing","✔ OK")</f>
        <v>✔ OK</v>
      </c>
    </row>
    <row r="216" spans="1:12" x14ac:dyDescent="0.3">
      <c r="A216" t="s">
        <v>965</v>
      </c>
      <c r="B216" t="s">
        <v>777</v>
      </c>
      <c r="C216" t="str">
        <f>IF(SessionMovements[[#This Row],[MovementID]]="","",
   _xlfn.XLOOKUP(SessionMovements[[#This Row],[MovementID]],MovementLibrary[MovementID],MovementLibrary[Name],"")
)</f>
        <v>Ring Dip Bottom Hold</v>
      </c>
      <c r="D216" s="5" t="str">
        <f>IF(SessionMovements[[#This Row],[MovementID]]="","",
   _xlfn.XLOOKUP(SessionMovements[[#This Row],[MovementID]], MovementLibrary[MovementID], MovementLibrary[Modality], "")
)</f>
        <v>Gymnastics</v>
      </c>
      <c r="E216" s="5" t="str">
        <f>IF(SessionMovements[[#This Row],[MovementID]]="","",
   _xlfn.XLOOKUP(SessionMovements[[#This Row],[MovementID]], MovementLibrary[MovementID], MovementLibrary[Unit], "")
)</f>
        <v>sec</v>
      </c>
      <c r="F2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6">
        <v>3</v>
      </c>
      <c r="H216">
        <v>15</v>
      </c>
      <c r="L216" s="5" t="str">
        <f>IF(COUNTIF(Sessions[SessionID],SessionMovements[[#This Row],[SessionID]])=0,"❌ Missing","✔ OK")</f>
        <v>✔ OK</v>
      </c>
    </row>
    <row r="217" spans="1:12" x14ac:dyDescent="0.3">
      <c r="A217" t="s">
        <v>965</v>
      </c>
      <c r="B217" t="s">
        <v>530</v>
      </c>
      <c r="C217" t="str">
        <f>IF(SessionMovements[[#This Row],[MovementID]]="","",
   _xlfn.XLOOKUP(SessionMovements[[#This Row],[MovementID]],MovementLibrary[MovementID],MovementLibrary[Name],"")
)</f>
        <v>Hollow Hold</v>
      </c>
      <c r="D217" s="5" t="str">
        <f>IF(SessionMovements[[#This Row],[MovementID]]="","",
   _xlfn.XLOOKUP(SessionMovements[[#This Row],[MovementID]], MovementLibrary[MovementID], MovementLibrary[Modality], "")
)</f>
        <v>Gymnastics</v>
      </c>
      <c r="E217" s="5" t="str">
        <f>IF(SessionMovements[[#This Row],[MovementID]]="","",
   _xlfn.XLOOKUP(SessionMovements[[#This Row],[MovementID]], MovementLibrary[MovementID], MovementLibrary[Unit], "")
)</f>
        <v>sec</v>
      </c>
      <c r="F2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7">
        <v>3</v>
      </c>
      <c r="H217" t="s">
        <v>948</v>
      </c>
      <c r="L217" s="5" t="str">
        <f>IF(COUNTIF(Sessions[SessionID],SessionMovements[[#This Row],[SessionID]])=0,"❌ Missing","✔ OK")</f>
        <v>✔ OK</v>
      </c>
    </row>
    <row r="218" spans="1:12" x14ac:dyDescent="0.3">
      <c r="A218" t="s">
        <v>967</v>
      </c>
      <c r="B218" t="s">
        <v>668</v>
      </c>
      <c r="C218" t="str">
        <f>IF(SessionMovements[[#This Row],[MovementID]]="","",
   _xlfn.XLOOKUP(SessionMovements[[#This Row],[MovementID]],MovementLibrary[MovementID],MovementLibrary[Name],"")
)</f>
        <v>Power Snatch + OHS (Complex)</v>
      </c>
      <c r="D218" s="5" t="str">
        <f>IF(SessionMovements[[#This Row],[MovementID]]="","",
   _xlfn.XLOOKUP(SessionMovements[[#This Row],[MovementID]], MovementLibrary[MovementID], MovementLibrary[Modality], "")
)</f>
        <v>Barbell</v>
      </c>
      <c r="E218" s="5" t="str">
        <f>IF(SessionMovements[[#This Row],[MovementID]]="","",
   _xlfn.XLOOKUP(SessionMovements[[#This Row],[MovementID]], MovementLibrary[MovementID], MovementLibrary[Unit], "")
)</f>
        <v>kg</v>
      </c>
      <c r="F2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8">
        <v>6</v>
      </c>
      <c r="H218" t="s">
        <v>943</v>
      </c>
      <c r="K218" t="s">
        <v>962</v>
      </c>
      <c r="L218" s="5" t="str">
        <f>IF(COUNTIF(Sessions[SessionID],SessionMovements[[#This Row],[SessionID]])=0,"❌ Missing","✔ OK")</f>
        <v>✔ OK</v>
      </c>
    </row>
    <row r="219" spans="1:12" x14ac:dyDescent="0.3">
      <c r="A219" t="s">
        <v>967</v>
      </c>
      <c r="B219" t="s">
        <v>659</v>
      </c>
      <c r="C219" t="str">
        <f>IF(SessionMovements[[#This Row],[MovementID]]="","",
   _xlfn.XLOOKUP(SessionMovements[[#This Row],[MovementID]],MovementLibrary[MovementID],MovementLibrary[Name],"")
)</f>
        <v>Snatch High Pull</v>
      </c>
      <c r="D219" s="5" t="str">
        <f>IF(SessionMovements[[#This Row],[MovementID]]="","",
   _xlfn.XLOOKUP(SessionMovements[[#This Row],[MovementID]], MovementLibrary[MovementID], MovementLibrary[Modality], "")
)</f>
        <v>Barbell</v>
      </c>
      <c r="E219" s="5" t="str">
        <f>IF(SessionMovements[[#This Row],[MovementID]]="","",
   _xlfn.XLOOKUP(SessionMovements[[#This Row],[MovementID]], MovementLibrary[MovementID], MovementLibrary[Unit], "")
)</f>
        <v>kg</v>
      </c>
      <c r="F2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19">
        <v>5</v>
      </c>
      <c r="H219">
        <v>3</v>
      </c>
      <c r="K219" t="s">
        <v>962</v>
      </c>
      <c r="L219" s="5" t="str">
        <f>IF(COUNTIF(Sessions[SessionID],SessionMovements[[#This Row],[SessionID]])=0,"❌ Missing","✔ OK")</f>
        <v>✔ OK</v>
      </c>
    </row>
    <row r="220" spans="1:12" x14ac:dyDescent="0.3">
      <c r="A220" t="s">
        <v>967</v>
      </c>
      <c r="B220" t="s">
        <v>296</v>
      </c>
      <c r="C220" t="str">
        <f>IF(SessionMovements[[#This Row],[MovementID]]="","",
   _xlfn.XLOOKUP(SessionMovements[[#This Row],[MovementID]],MovementLibrary[MovementID],MovementLibrary[Name],"")
)</f>
        <v>Front Squat</v>
      </c>
      <c r="D220" s="5" t="str">
        <f>IF(SessionMovements[[#This Row],[MovementID]]="","",
   _xlfn.XLOOKUP(SessionMovements[[#This Row],[MovementID]], MovementLibrary[MovementID], MovementLibrary[Modality], "")
)</f>
        <v>Barbell</v>
      </c>
      <c r="E220" s="5" t="str">
        <f>IF(SessionMovements[[#This Row],[MovementID]]="","",
   _xlfn.XLOOKUP(SessionMovements[[#This Row],[MovementID]], MovementLibrary[MovementID], MovementLibrary[Unit], "")
)</f>
        <v>kg</v>
      </c>
      <c r="F2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0">
        <v>5</v>
      </c>
      <c r="H220">
        <v>3</v>
      </c>
      <c r="J220">
        <v>80</v>
      </c>
      <c r="L220" s="5" t="str">
        <f>IF(COUNTIF(Sessions[SessionID],SessionMovements[[#This Row],[SessionID]])=0,"❌ Missing","✔ OK")</f>
        <v>✔ OK</v>
      </c>
    </row>
    <row r="221" spans="1:12" x14ac:dyDescent="0.3">
      <c r="A221" t="s">
        <v>967</v>
      </c>
      <c r="B221" t="s">
        <v>671</v>
      </c>
      <c r="C221" t="str">
        <f>IF(SessionMovements[[#This Row],[MovementID]]="","",
   _xlfn.XLOOKUP(SessionMovements[[#This Row],[MovementID]],MovementLibrary[MovementID],MovementLibrary[Name],"")
)</f>
        <v>Snatch Press (Behind-the-neck)</v>
      </c>
      <c r="D221" s="5" t="str">
        <f>IF(SessionMovements[[#This Row],[MovementID]]="","",
   _xlfn.XLOOKUP(SessionMovements[[#This Row],[MovementID]], MovementLibrary[MovementID], MovementLibrary[Modality], "")
)</f>
        <v>Barbell</v>
      </c>
      <c r="E221" s="5" t="str">
        <f>IF(SessionMovements[[#This Row],[MovementID]]="","",
   _xlfn.XLOOKUP(SessionMovements[[#This Row],[MovementID]], MovementLibrary[MovementID], MovementLibrary[Unit], "")
)</f>
        <v>kg</v>
      </c>
      <c r="F2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1">
        <v>5</v>
      </c>
      <c r="H221">
        <v>4</v>
      </c>
      <c r="K221" t="s">
        <v>968</v>
      </c>
      <c r="L221" s="5" t="str">
        <f>IF(COUNTIF(Sessions[SessionID],SessionMovements[[#This Row],[SessionID]])=0,"❌ Missing","✔ OK")</f>
        <v>✔ OK</v>
      </c>
    </row>
    <row r="222" spans="1:12" x14ac:dyDescent="0.3">
      <c r="A222" t="s">
        <v>967</v>
      </c>
      <c r="B222" t="s">
        <v>527</v>
      </c>
      <c r="C222" t="str">
        <f>IF(SessionMovements[[#This Row],[MovementID]]="","",
   _xlfn.XLOOKUP(SessionMovements[[#This Row],[MovementID]],MovementLibrary[MovementID],MovementLibrary[Name],"")
)</f>
        <v>L-Sit Hold</v>
      </c>
      <c r="D222" s="5" t="str">
        <f>IF(SessionMovements[[#This Row],[MovementID]]="","",
   _xlfn.XLOOKUP(SessionMovements[[#This Row],[MovementID]], MovementLibrary[MovementID], MovementLibrary[Modality], "")
)</f>
        <v>Gymnastics</v>
      </c>
      <c r="E222" s="5" t="str">
        <f>IF(SessionMovements[[#This Row],[MovementID]]="","",
   _xlfn.XLOOKUP(SessionMovements[[#This Row],[MovementID]], MovementLibrary[MovementID], MovementLibrary[Unit], "")
)</f>
        <v>sec</v>
      </c>
      <c r="F2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2">
        <v>3</v>
      </c>
      <c r="H222">
        <v>5</v>
      </c>
      <c r="K222" t="s">
        <v>952</v>
      </c>
      <c r="L222" s="5" t="str">
        <f>IF(COUNTIF(Sessions[SessionID],SessionMovements[[#This Row],[SessionID]])=0,"❌ Missing","✔ OK")</f>
        <v>✔ OK</v>
      </c>
    </row>
    <row r="223" spans="1:12" x14ac:dyDescent="0.3">
      <c r="A223" t="s">
        <v>967</v>
      </c>
      <c r="B223" t="s">
        <v>783</v>
      </c>
      <c r="C223" t="str">
        <f>IF(SessionMovements[[#This Row],[MovementID]]="","",
   _xlfn.XLOOKUP(SessionMovements[[#This Row],[MovementID]],MovementLibrary[MovementID],MovementLibrary[Name],"")
)</f>
        <v>Scap Pull (Bar/Rings)</v>
      </c>
      <c r="D223" s="5" t="str">
        <f>IF(SessionMovements[[#This Row],[MovementID]]="","",
   _xlfn.XLOOKUP(SessionMovements[[#This Row],[MovementID]], MovementLibrary[MovementID], MovementLibrary[Modality], "")
)</f>
        <v>Gymnastics</v>
      </c>
      <c r="E223" s="5" t="str">
        <f>IF(SessionMovements[[#This Row],[MovementID]]="","",
   _xlfn.XLOOKUP(SessionMovements[[#This Row],[MovementID]], MovementLibrary[MovementID], MovementLibrary[Unit], "")
)</f>
        <v>reps</v>
      </c>
      <c r="F2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3">
        <v>3</v>
      </c>
      <c r="H223" t="s">
        <v>948</v>
      </c>
      <c r="K223" t="s">
        <v>953</v>
      </c>
      <c r="L223" s="5" t="str">
        <f>IF(COUNTIF(Sessions[SessionID],SessionMovements[[#This Row],[SessionID]])=0,"❌ Missing","✔ OK")</f>
        <v>✔ OK</v>
      </c>
    </row>
    <row r="224" spans="1:12" x14ac:dyDescent="0.3">
      <c r="A224" t="s">
        <v>967</v>
      </c>
      <c r="B224" t="s">
        <v>735</v>
      </c>
      <c r="C224" t="str">
        <f>IF(SessionMovements[[#This Row],[MovementID]]="","",
   _xlfn.XLOOKUP(SessionMovements[[#This Row],[MovementID]],MovementLibrary[MovementID],MovementLibrary[Name],"")
)</f>
        <v>Hollow Rock</v>
      </c>
      <c r="D224" s="5" t="str">
        <f>IF(SessionMovements[[#This Row],[MovementID]]="","",
   _xlfn.XLOOKUP(SessionMovements[[#This Row],[MovementID]], MovementLibrary[MovementID], MovementLibrary[Modality], "")
)</f>
        <v>Gymnastics</v>
      </c>
      <c r="E224" s="5" t="str">
        <f>IF(SessionMovements[[#This Row],[MovementID]]="","",
   _xlfn.XLOOKUP(SessionMovements[[#This Row],[MovementID]], MovementLibrary[MovementID], MovementLibrary[Unit], "")
)</f>
        <v>reps</v>
      </c>
      <c r="F2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4">
        <v>3</v>
      </c>
      <c r="H224">
        <v>15</v>
      </c>
      <c r="L224" s="5" t="str">
        <f>IF(COUNTIF(Sessions[SessionID],SessionMovements[[#This Row],[SessionID]])=0,"❌ Missing","✔ OK")</f>
        <v>✔ OK</v>
      </c>
    </row>
    <row r="225" spans="1:12" x14ac:dyDescent="0.3">
      <c r="A225" t="s">
        <v>969</v>
      </c>
      <c r="B225" t="s">
        <v>260</v>
      </c>
      <c r="C225" t="str">
        <f>IF(SessionMovements[[#This Row],[MovementID]]="","",
   _xlfn.XLOOKUP(SessionMovements[[#This Row],[MovementID]],MovementLibrary[MovementID],MovementLibrary[Name],"")
)</f>
        <v>Snatch</v>
      </c>
      <c r="D225" s="5" t="str">
        <f>IF(SessionMovements[[#This Row],[MovementID]]="","",
   _xlfn.XLOOKUP(SessionMovements[[#This Row],[MovementID]], MovementLibrary[MovementID], MovementLibrary[Modality], "")
)</f>
        <v>Barbell</v>
      </c>
      <c r="E225" s="5" t="str">
        <f>IF(SessionMovements[[#This Row],[MovementID]]="","",
   _xlfn.XLOOKUP(SessionMovements[[#This Row],[MovementID]], MovementLibrary[MovementID], MovementLibrary[Unit], "")
)</f>
        <v>kg</v>
      </c>
      <c r="F2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5">
        <v>6</v>
      </c>
      <c r="H225">
        <v>2</v>
      </c>
      <c r="J225">
        <v>75</v>
      </c>
      <c r="L225" s="5" t="str">
        <f>IF(COUNTIF(Sessions[SessionID],SessionMovements[[#This Row],[SessionID]])=0,"❌ Missing","✔ OK")</f>
        <v>✔ OK</v>
      </c>
    </row>
    <row r="226" spans="1:12" x14ac:dyDescent="0.3">
      <c r="A226" t="s">
        <v>969</v>
      </c>
      <c r="B226" t="s">
        <v>534</v>
      </c>
      <c r="C226" t="str">
        <f>IF(SessionMovements[[#This Row],[MovementID]]="","",
   _xlfn.XLOOKUP(SessionMovements[[#This Row],[MovementID]],MovementLibrary[MovementID],MovementLibrary[Name],"")
)</f>
        <v>Snatch Pull</v>
      </c>
      <c r="D226" s="5" t="str">
        <f>IF(SessionMovements[[#This Row],[MovementID]]="","",
   _xlfn.XLOOKUP(SessionMovements[[#This Row],[MovementID]], MovementLibrary[MovementID], MovementLibrary[Modality], "")
)</f>
        <v>Barbell</v>
      </c>
      <c r="E226" s="5" t="str">
        <f>IF(SessionMovements[[#This Row],[MovementID]]="","",
   _xlfn.XLOOKUP(SessionMovements[[#This Row],[MovementID]], MovementLibrary[MovementID], MovementLibrary[Unit], "")
)</f>
        <v>kg</v>
      </c>
      <c r="F2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6">
        <v>5</v>
      </c>
      <c r="H226">
        <v>4</v>
      </c>
      <c r="K226" t="s">
        <v>970</v>
      </c>
      <c r="L226" s="5" t="str">
        <f>IF(COUNTIF(Sessions[SessionID],SessionMovements[[#This Row],[SessionID]])=0,"❌ Missing","✔ OK")</f>
        <v>✔ OK</v>
      </c>
    </row>
    <row r="227" spans="1:12" x14ac:dyDescent="0.3">
      <c r="A227" t="s">
        <v>969</v>
      </c>
      <c r="B227" t="s">
        <v>258</v>
      </c>
      <c r="C227" t="str">
        <f>IF(SessionMovements[[#This Row],[MovementID]]="","",
   _xlfn.XLOOKUP(SessionMovements[[#This Row],[MovementID]],MovementLibrary[MovementID],MovementLibrary[Name],"")
)</f>
        <v>Overhead Squat</v>
      </c>
      <c r="D227" s="5" t="str">
        <f>IF(SessionMovements[[#This Row],[MovementID]]="","",
   _xlfn.XLOOKUP(SessionMovements[[#This Row],[MovementID]], MovementLibrary[MovementID], MovementLibrary[Modality], "")
)</f>
        <v>Barbell</v>
      </c>
      <c r="E227" s="5" t="str">
        <f>IF(SessionMovements[[#This Row],[MovementID]]="","",
   _xlfn.XLOOKUP(SessionMovements[[#This Row],[MovementID]], MovementLibrary[MovementID], MovementLibrary[Unit], "")
)</f>
        <v>kg</v>
      </c>
      <c r="F2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7">
        <v>5</v>
      </c>
      <c r="H227">
        <v>3</v>
      </c>
      <c r="J227">
        <v>80</v>
      </c>
      <c r="L227" s="5" t="str">
        <f>IF(COUNTIF(Sessions[SessionID],SessionMovements[[#This Row],[SessionID]])=0,"❌ Missing","✔ OK")</f>
        <v>✔ OK</v>
      </c>
    </row>
    <row r="228" spans="1:12" x14ac:dyDescent="0.3">
      <c r="A228" t="s">
        <v>969</v>
      </c>
      <c r="B228" t="s">
        <v>298</v>
      </c>
      <c r="C228" t="str">
        <f>IF(SessionMovements[[#This Row],[MovementID]]="","",
   _xlfn.XLOOKUP(SessionMovements[[#This Row],[MovementID]],MovementLibrary[MovementID],MovementLibrary[Name],"")
)</f>
        <v>Back Squat</v>
      </c>
      <c r="D228" s="5" t="str">
        <f>IF(SessionMovements[[#This Row],[MovementID]]="","",
   _xlfn.XLOOKUP(SessionMovements[[#This Row],[MovementID]], MovementLibrary[MovementID], MovementLibrary[Modality], "")
)</f>
        <v>Barbell</v>
      </c>
      <c r="E228" s="5" t="str">
        <f>IF(SessionMovements[[#This Row],[MovementID]]="","",
   _xlfn.XLOOKUP(SessionMovements[[#This Row],[MovementID]], MovementLibrary[MovementID], MovementLibrary[Unit], "")
)</f>
        <v>kg</v>
      </c>
      <c r="F2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8">
        <v>4</v>
      </c>
      <c r="H228">
        <v>6</v>
      </c>
      <c r="J228">
        <v>80</v>
      </c>
      <c r="L228" s="5" t="str">
        <f>IF(COUNTIF(Sessions[SessionID],SessionMovements[[#This Row],[SessionID]])=0,"❌ Missing","✔ OK")</f>
        <v>✔ OK</v>
      </c>
    </row>
    <row r="229" spans="1:12" x14ac:dyDescent="0.3">
      <c r="A229" t="s">
        <v>969</v>
      </c>
      <c r="B229" t="s">
        <v>711</v>
      </c>
      <c r="C229" t="str">
        <f>IF(SessionMovements[[#This Row],[MovementID]]="","",
   _xlfn.XLOOKUP(SessionMovements[[#This Row],[MovementID]],MovementLibrary[MovementID],MovementLibrary[Name],"")
)</f>
        <v>Ring Row</v>
      </c>
      <c r="D229" s="5" t="str">
        <f>IF(SessionMovements[[#This Row],[MovementID]]="","",
   _xlfn.XLOOKUP(SessionMovements[[#This Row],[MovementID]], MovementLibrary[MovementID], MovementLibrary[Modality], "")
)</f>
        <v>Gymnastics</v>
      </c>
      <c r="E229" s="5" t="str">
        <f>IF(SessionMovements[[#This Row],[MovementID]]="","",
   _xlfn.XLOOKUP(SessionMovements[[#This Row],[MovementID]], MovementLibrary[MovementID], MovementLibrary[Unit], "")
)</f>
        <v>reps</v>
      </c>
      <c r="F2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29">
        <v>3</v>
      </c>
      <c r="H229">
        <v>8</v>
      </c>
      <c r="L229" s="5" t="str">
        <f>IF(COUNTIF(Sessions[SessionID],SessionMovements[[#This Row],[SessionID]])=0,"❌ Missing","✔ OK")</f>
        <v>✔ OK</v>
      </c>
    </row>
    <row r="230" spans="1:12" x14ac:dyDescent="0.3">
      <c r="A230" t="s">
        <v>969</v>
      </c>
      <c r="B230" t="s">
        <v>786</v>
      </c>
      <c r="C230" t="str">
        <f>IF(SessionMovements[[#This Row],[MovementID]]="","",
   _xlfn.XLOOKUP(SessionMovements[[#This Row],[MovementID]],MovementLibrary[MovementID],MovementLibrary[Name],"")
)</f>
        <v>Ring support hold</v>
      </c>
      <c r="D230" s="5" t="str">
        <f>IF(SessionMovements[[#This Row],[MovementID]]="","",
   _xlfn.XLOOKUP(SessionMovements[[#This Row],[MovementID]], MovementLibrary[MovementID], MovementLibrary[Modality], "")
)</f>
        <v>Gymnastics</v>
      </c>
      <c r="E230" s="5" t="str">
        <f>IF(SessionMovements[[#This Row],[MovementID]]="","",
   _xlfn.XLOOKUP(SessionMovements[[#This Row],[MovementID]], MovementLibrary[MovementID], MovementLibrary[Unit], "")
)</f>
        <v>sec</v>
      </c>
      <c r="F2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0">
        <v>3</v>
      </c>
      <c r="H230">
        <v>15</v>
      </c>
      <c r="L230" s="5" t="str">
        <f>IF(COUNTIF(Sessions[SessionID],SessionMovements[[#This Row],[SessionID]])=0,"❌ Missing","✔ OK")</f>
        <v>✔ OK</v>
      </c>
    </row>
    <row r="231" spans="1:12" x14ac:dyDescent="0.3">
      <c r="A231" t="s">
        <v>969</v>
      </c>
      <c r="B231" t="s">
        <v>756</v>
      </c>
      <c r="C231" t="str">
        <f>IF(SessionMovements[[#This Row],[MovementID]]="","",
   _xlfn.XLOOKUP(SessionMovements[[#This Row],[MovementID]],MovementLibrary[MovementID],MovementLibrary[Name],"")
)</f>
        <v>Ab Wheel Rollout</v>
      </c>
      <c r="D231" s="5" t="str">
        <f>IF(SessionMovements[[#This Row],[MovementID]]="","",
   _xlfn.XLOOKUP(SessionMovements[[#This Row],[MovementID]], MovementLibrary[MovementID], MovementLibrary[Modality], "")
)</f>
        <v>Gymnastics</v>
      </c>
      <c r="E231" s="5" t="str">
        <f>IF(SessionMovements[[#This Row],[MovementID]]="","",
   _xlfn.XLOOKUP(SessionMovements[[#This Row],[MovementID]], MovementLibrary[MovementID], MovementLibrary[Unit], "")
)</f>
        <v>reps</v>
      </c>
      <c r="F2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1">
        <v>3</v>
      </c>
      <c r="H231">
        <v>10</v>
      </c>
      <c r="L231" s="5" t="str">
        <f>IF(COUNTIF(Sessions[SessionID],SessionMovements[[#This Row],[SessionID]])=0,"❌ Missing","✔ OK")</f>
        <v>✔ OK</v>
      </c>
    </row>
    <row r="232" spans="1:12" x14ac:dyDescent="0.3">
      <c r="A232" t="s">
        <v>971</v>
      </c>
      <c r="B232" t="s">
        <v>662</v>
      </c>
      <c r="C232" t="str">
        <f>IF(SessionMovements[[#This Row],[MovementID]]="","",
   _xlfn.XLOOKUP(SessionMovements[[#This Row],[MovementID]],MovementLibrary[MovementID],MovementLibrary[Name],"")
)</f>
        <v>Power Clean + Front Squat (Complex)</v>
      </c>
      <c r="D232" s="5" t="str">
        <f>IF(SessionMovements[[#This Row],[MovementID]]="","",
   _xlfn.XLOOKUP(SessionMovements[[#This Row],[MovementID]], MovementLibrary[MovementID], MovementLibrary[Modality], "")
)</f>
        <v>Barbell</v>
      </c>
      <c r="E232" s="5" t="str">
        <f>IF(SessionMovements[[#This Row],[MovementID]]="","",
   _xlfn.XLOOKUP(SessionMovements[[#This Row],[MovementID]], MovementLibrary[MovementID], MovementLibrary[Unit], "")
)</f>
        <v>kg</v>
      </c>
      <c r="F2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2">
        <v>6</v>
      </c>
      <c r="H232" t="s">
        <v>943</v>
      </c>
      <c r="K232" t="s">
        <v>970</v>
      </c>
      <c r="L232" s="5" t="str">
        <f>IF(COUNTIF(Sessions[SessionID],SessionMovements[[#This Row],[SessionID]])=0,"❌ Missing","✔ OK")</f>
        <v>✔ OK</v>
      </c>
    </row>
    <row r="233" spans="1:12" x14ac:dyDescent="0.3">
      <c r="A233" t="s">
        <v>971</v>
      </c>
      <c r="B233" t="s">
        <v>656</v>
      </c>
      <c r="C233" t="str">
        <f>IF(SessionMovements[[#This Row],[MovementID]]="","",
   _xlfn.XLOOKUP(SessionMovements[[#This Row],[MovementID]],MovementLibrary[MovementID],MovementLibrary[Name],"")
)</f>
        <v>Clean High Pull</v>
      </c>
      <c r="D233" s="5" t="str">
        <f>IF(SessionMovements[[#This Row],[MovementID]]="","",
   _xlfn.XLOOKUP(SessionMovements[[#This Row],[MovementID]], MovementLibrary[MovementID], MovementLibrary[Modality], "")
)</f>
        <v>Barbell</v>
      </c>
      <c r="E233" s="5" t="str">
        <f>IF(SessionMovements[[#This Row],[MovementID]]="","",
   _xlfn.XLOOKUP(SessionMovements[[#This Row],[MovementID]], MovementLibrary[MovementID], MovementLibrary[Unit], "")
)</f>
        <v>kg</v>
      </c>
      <c r="F2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3">
        <v>5</v>
      </c>
      <c r="H233">
        <v>3</v>
      </c>
      <c r="K233" t="s">
        <v>970</v>
      </c>
      <c r="L233" s="5" t="str">
        <f>IF(COUNTIF(Sessions[SessionID],SessionMovements[[#This Row],[SessionID]])=0,"❌ Missing","✔ OK")</f>
        <v>✔ OK</v>
      </c>
    </row>
    <row r="234" spans="1:12" x14ac:dyDescent="0.3">
      <c r="A234" t="s">
        <v>971</v>
      </c>
      <c r="B234" t="s">
        <v>290</v>
      </c>
      <c r="C234" t="str">
        <f>IF(SessionMovements[[#This Row],[MovementID]]="","",
   _xlfn.XLOOKUP(SessionMovements[[#This Row],[MovementID]],MovementLibrary[MovementID],MovementLibrary[Name],"")
)</f>
        <v>Push Jerk</v>
      </c>
      <c r="D234" s="5" t="str">
        <f>IF(SessionMovements[[#This Row],[MovementID]]="","",
   _xlfn.XLOOKUP(SessionMovements[[#This Row],[MovementID]], MovementLibrary[MovementID], MovementLibrary[Modality], "")
)</f>
        <v>Barbell</v>
      </c>
      <c r="E234" s="5" t="str">
        <f>IF(SessionMovements[[#This Row],[MovementID]]="","",
   _xlfn.XLOOKUP(SessionMovements[[#This Row],[MovementID]], MovementLibrary[MovementID], MovementLibrary[Unit], "")
)</f>
        <v>kg</v>
      </c>
      <c r="F2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4">
        <v>6</v>
      </c>
      <c r="H234">
        <v>3</v>
      </c>
      <c r="K234" t="s">
        <v>970</v>
      </c>
      <c r="L234" s="5" t="str">
        <f>IF(COUNTIF(Sessions[SessionID],SessionMovements[[#This Row],[SessionID]])=0,"❌ Missing","✔ OK")</f>
        <v>✔ OK</v>
      </c>
    </row>
    <row r="235" spans="1:12" x14ac:dyDescent="0.3">
      <c r="A235" t="s">
        <v>971</v>
      </c>
      <c r="B235" t="s">
        <v>262</v>
      </c>
      <c r="C235" t="str">
        <f>IF(SessionMovements[[#This Row],[MovementID]]="","",
   _xlfn.XLOOKUP(SessionMovements[[#This Row],[MovementID]],MovementLibrary[MovementID],MovementLibrary[Name],"")
)</f>
        <v>Strict Press</v>
      </c>
      <c r="D235" s="5" t="str">
        <f>IF(SessionMovements[[#This Row],[MovementID]]="","",
   _xlfn.XLOOKUP(SessionMovements[[#This Row],[MovementID]], MovementLibrary[MovementID], MovementLibrary[Modality], "")
)</f>
        <v>Barbell</v>
      </c>
      <c r="E235" s="5" t="str">
        <f>IF(SessionMovements[[#This Row],[MovementID]]="","",
   _xlfn.XLOOKUP(SessionMovements[[#This Row],[MovementID]], MovementLibrary[MovementID], MovementLibrary[Unit], "")
)</f>
        <v>kg</v>
      </c>
      <c r="F2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5">
        <v>5</v>
      </c>
      <c r="H235">
        <v>4</v>
      </c>
      <c r="K235" t="s">
        <v>970</v>
      </c>
      <c r="L235" s="5" t="str">
        <f>IF(COUNTIF(Sessions[SessionID],SessionMovements[[#This Row],[SessionID]])=0,"❌ Missing","✔ OK")</f>
        <v>✔ OK</v>
      </c>
    </row>
    <row r="236" spans="1:12" x14ac:dyDescent="0.3">
      <c r="A236" t="s">
        <v>971</v>
      </c>
      <c r="B236" t="s">
        <v>684</v>
      </c>
      <c r="C236" t="str">
        <f>IF(SessionMovements[[#This Row],[MovementID]]="","",
   _xlfn.XLOOKUP(SessionMovements[[#This Row],[MovementID]],MovementLibrary[MovementID],MovementLibrary[Name],"")
)</f>
        <v>Weighted Pull-Up</v>
      </c>
      <c r="D236" s="5" t="str">
        <f>IF(SessionMovements[[#This Row],[MovementID]]="","",
   _xlfn.XLOOKUP(SessionMovements[[#This Row],[MovementID]], MovementLibrary[MovementID], MovementLibrary[Modality], "")
)</f>
        <v>Gymnastics</v>
      </c>
      <c r="E236" s="5" t="str">
        <f>IF(SessionMovements[[#This Row],[MovementID]]="","",
   _xlfn.XLOOKUP(SessionMovements[[#This Row],[MovementID]], MovementLibrary[MovementID], MovementLibrary[Unit], "")
)</f>
        <v>kg</v>
      </c>
      <c r="F2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6">
        <v>3</v>
      </c>
      <c r="H236">
        <v>5</v>
      </c>
      <c r="L236" s="5" t="str">
        <f>IF(COUNTIF(Sessions[SessionID],SessionMovements[[#This Row],[SessionID]])=0,"❌ Missing","✔ OK")</f>
        <v>✔ OK</v>
      </c>
    </row>
    <row r="237" spans="1:12" x14ac:dyDescent="0.3">
      <c r="A237" t="s">
        <v>971</v>
      </c>
      <c r="B237" t="s">
        <v>524</v>
      </c>
      <c r="C237" t="str">
        <f>IF(SessionMovements[[#This Row],[MovementID]]="","",
   _xlfn.XLOOKUP(SessionMovements[[#This Row],[MovementID]],MovementLibrary[MovementID],MovementLibrary[Name],"")
)</f>
        <v>Chin-Over-Bar Hold</v>
      </c>
      <c r="D237" s="5" t="str">
        <f>IF(SessionMovements[[#This Row],[MovementID]]="","",
   _xlfn.XLOOKUP(SessionMovements[[#This Row],[MovementID]], MovementLibrary[MovementID], MovementLibrary[Modality], "")
)</f>
        <v>Gymnastics</v>
      </c>
      <c r="E237" s="5" t="str">
        <f>IF(SessionMovements[[#This Row],[MovementID]]="","",
   _xlfn.XLOOKUP(SessionMovements[[#This Row],[MovementID]], MovementLibrary[MovementID], MovementLibrary[Unit], "")
)</f>
        <v>sec</v>
      </c>
      <c r="F2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7">
        <v>3</v>
      </c>
      <c r="H237">
        <v>10</v>
      </c>
      <c r="L237" s="5" t="str">
        <f>IF(COUNTIF(Sessions[SessionID],SessionMovements[[#This Row],[SessionID]])=0,"❌ Missing","✔ OK")</f>
        <v>✔ OK</v>
      </c>
    </row>
    <row r="238" spans="1:12" x14ac:dyDescent="0.3">
      <c r="A238" t="s">
        <v>971</v>
      </c>
      <c r="B238" t="s">
        <v>756</v>
      </c>
      <c r="C238" t="str">
        <f>IF(SessionMovements[[#This Row],[MovementID]]="","",
   _xlfn.XLOOKUP(SessionMovements[[#This Row],[MovementID]],MovementLibrary[MovementID],MovementLibrary[Name],"")
)</f>
        <v>Ab Wheel Rollout</v>
      </c>
      <c r="D238" s="5" t="str">
        <f>IF(SessionMovements[[#This Row],[MovementID]]="","",
   _xlfn.XLOOKUP(SessionMovements[[#This Row],[MovementID]], MovementLibrary[MovementID], MovementLibrary[Modality], "")
)</f>
        <v>Gymnastics</v>
      </c>
      <c r="E238" s="5" t="str">
        <f>IF(SessionMovements[[#This Row],[MovementID]]="","",
   _xlfn.XLOOKUP(SessionMovements[[#This Row],[MovementID]], MovementLibrary[MovementID], MovementLibrary[Unit], "")
)</f>
        <v>reps</v>
      </c>
      <c r="F2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8">
        <v>3</v>
      </c>
      <c r="H238">
        <v>10</v>
      </c>
      <c r="L238" s="5" t="str">
        <f>IF(COUNTIF(Sessions[SessionID],SessionMovements[[#This Row],[SessionID]])=0,"❌ Missing","✔ OK")</f>
        <v>✔ OK</v>
      </c>
    </row>
    <row r="239" spans="1:12" x14ac:dyDescent="0.3">
      <c r="A239" t="s">
        <v>972</v>
      </c>
      <c r="B239" t="s">
        <v>261</v>
      </c>
      <c r="C239" t="str">
        <f>IF(SessionMovements[[#This Row],[MovementID]]="","",
   _xlfn.XLOOKUP(SessionMovements[[#This Row],[MovementID]],MovementLibrary[MovementID],MovementLibrary[Name],"")
)</f>
        <v>Clean &amp; Jerk</v>
      </c>
      <c r="D239" s="5" t="str">
        <f>IF(SessionMovements[[#This Row],[MovementID]]="","",
   _xlfn.XLOOKUP(SessionMovements[[#This Row],[MovementID]], MovementLibrary[MovementID], MovementLibrary[Modality], "")
)</f>
        <v>Barbell</v>
      </c>
      <c r="E239" s="5" t="str">
        <f>IF(SessionMovements[[#This Row],[MovementID]]="","",
   _xlfn.XLOOKUP(SessionMovements[[#This Row],[MovementID]], MovementLibrary[MovementID], MovementLibrary[Unit], "")
)</f>
        <v>kg</v>
      </c>
      <c r="F2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39">
        <v>6</v>
      </c>
      <c r="H239" t="s">
        <v>943</v>
      </c>
      <c r="J239">
        <v>90</v>
      </c>
      <c r="L239" s="5" t="str">
        <f>IF(COUNTIF(Sessions[SessionID],SessionMovements[[#This Row],[SessionID]])=0,"❌ Missing","✔ OK")</f>
        <v>✔ OK</v>
      </c>
    </row>
    <row r="240" spans="1:12" x14ac:dyDescent="0.3">
      <c r="A240" t="s">
        <v>972</v>
      </c>
      <c r="B240" t="s">
        <v>537</v>
      </c>
      <c r="C240" t="str">
        <f>IF(SessionMovements[[#This Row],[MovementID]]="","",
   _xlfn.XLOOKUP(SessionMovements[[#This Row],[MovementID]],MovementLibrary[MovementID],MovementLibrary[Name],"")
)</f>
        <v>Clean Pull</v>
      </c>
      <c r="D240" s="5" t="str">
        <f>IF(SessionMovements[[#This Row],[MovementID]]="","",
   _xlfn.XLOOKUP(SessionMovements[[#This Row],[MovementID]], MovementLibrary[MovementID], MovementLibrary[Modality], "")
)</f>
        <v>Barbell</v>
      </c>
      <c r="E240" s="5" t="str">
        <f>IF(SessionMovements[[#This Row],[MovementID]]="","",
   _xlfn.XLOOKUP(SessionMovements[[#This Row],[MovementID]], MovementLibrary[MovementID], MovementLibrary[Unit], "")
)</f>
        <v>kg</v>
      </c>
      <c r="F2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0">
        <v>5</v>
      </c>
      <c r="H240">
        <v>4</v>
      </c>
      <c r="K240" t="s">
        <v>973</v>
      </c>
      <c r="L240" s="5" t="str">
        <f>IF(COUNTIF(Sessions[SessionID],SessionMovements[[#This Row],[SessionID]])=0,"❌ Missing","✔ OK")</f>
        <v>✔ OK</v>
      </c>
    </row>
    <row r="241" spans="1:12" x14ac:dyDescent="0.3">
      <c r="A241" t="s">
        <v>972</v>
      </c>
      <c r="B241" t="s">
        <v>298</v>
      </c>
      <c r="C241" t="str">
        <f>IF(SessionMovements[[#This Row],[MovementID]]="","",
   _xlfn.XLOOKUP(SessionMovements[[#This Row],[MovementID]],MovementLibrary[MovementID],MovementLibrary[Name],"")
)</f>
        <v>Back Squat</v>
      </c>
      <c r="D241" s="5" t="str">
        <f>IF(SessionMovements[[#This Row],[MovementID]]="","",
   _xlfn.XLOOKUP(SessionMovements[[#This Row],[MovementID]], MovementLibrary[MovementID], MovementLibrary[Modality], "")
)</f>
        <v>Barbell</v>
      </c>
      <c r="E241" s="5" t="str">
        <f>IF(SessionMovements[[#This Row],[MovementID]]="","",
   _xlfn.XLOOKUP(SessionMovements[[#This Row],[MovementID]], MovementLibrary[MovementID], MovementLibrary[Unit], "")
)</f>
        <v>kg</v>
      </c>
      <c r="F2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1">
        <v>5</v>
      </c>
      <c r="H241">
        <v>3</v>
      </c>
      <c r="J241">
        <v>80</v>
      </c>
      <c r="L241" s="5" t="str">
        <f>IF(COUNTIF(Sessions[SessionID],SessionMovements[[#This Row],[SessionID]])=0,"❌ Missing","✔ OK")</f>
        <v>✔ OK</v>
      </c>
    </row>
    <row r="242" spans="1:12" x14ac:dyDescent="0.3">
      <c r="A242" t="s">
        <v>972</v>
      </c>
      <c r="B242" t="s">
        <v>771</v>
      </c>
      <c r="C242" t="str">
        <f>IF(SessionMovements[[#This Row],[MovementID]]="","",
   _xlfn.XLOOKUP(SessionMovements[[#This Row],[MovementID]],MovementLibrary[MovementID],MovementLibrary[Name],"")
)</f>
        <v>Ring MU Transition</v>
      </c>
      <c r="D242" s="5" t="str">
        <f>IF(SessionMovements[[#This Row],[MovementID]]="","",
   _xlfn.XLOOKUP(SessionMovements[[#This Row],[MovementID]], MovementLibrary[MovementID], MovementLibrary[Modality], "")
)</f>
        <v>Gymnastics</v>
      </c>
      <c r="E242" s="5" t="str">
        <f>IF(SessionMovements[[#This Row],[MovementID]]="","",
   _xlfn.XLOOKUP(SessionMovements[[#This Row],[MovementID]], MovementLibrary[MovementID], MovementLibrary[Unit], "")
)</f>
        <v>reps</v>
      </c>
      <c r="F2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2">
        <v>3</v>
      </c>
      <c r="H242">
        <v>3</v>
      </c>
      <c r="L242" s="5" t="str">
        <f>IF(COUNTIF(Sessions[SessionID],SessionMovements[[#This Row],[SessionID]])=0,"❌ Missing","✔ OK")</f>
        <v>✔ OK</v>
      </c>
    </row>
    <row r="243" spans="1:12" x14ac:dyDescent="0.3">
      <c r="A243" t="s">
        <v>972</v>
      </c>
      <c r="B243" t="s">
        <v>777</v>
      </c>
      <c r="C243" t="str">
        <f>IF(SessionMovements[[#This Row],[MovementID]]="","",
   _xlfn.XLOOKUP(SessionMovements[[#This Row],[MovementID]],MovementLibrary[MovementID],MovementLibrary[Name],"")
)</f>
        <v>Ring Dip Bottom Hold</v>
      </c>
      <c r="D243" s="5" t="str">
        <f>IF(SessionMovements[[#This Row],[MovementID]]="","",
   _xlfn.XLOOKUP(SessionMovements[[#This Row],[MovementID]], MovementLibrary[MovementID], MovementLibrary[Modality], "")
)</f>
        <v>Gymnastics</v>
      </c>
      <c r="E243" s="5" t="str">
        <f>IF(SessionMovements[[#This Row],[MovementID]]="","",
   _xlfn.XLOOKUP(SessionMovements[[#This Row],[MovementID]], MovementLibrary[MovementID], MovementLibrary[Unit], "")
)</f>
        <v>sec</v>
      </c>
      <c r="F2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3">
        <v>3</v>
      </c>
      <c r="H243">
        <v>15</v>
      </c>
      <c r="L243" s="5" t="str">
        <f>IF(COUNTIF(Sessions[SessionID],SessionMovements[[#This Row],[SessionID]])=0,"❌ Missing","✔ OK")</f>
        <v>✔ OK</v>
      </c>
    </row>
    <row r="244" spans="1:12" x14ac:dyDescent="0.3">
      <c r="A244" t="s">
        <v>972</v>
      </c>
      <c r="B244" t="s">
        <v>530</v>
      </c>
      <c r="C244" t="str">
        <f>IF(SessionMovements[[#This Row],[MovementID]]="","",
   _xlfn.XLOOKUP(SessionMovements[[#This Row],[MovementID]],MovementLibrary[MovementID],MovementLibrary[Name],"")
)</f>
        <v>Hollow Hold</v>
      </c>
      <c r="D244" s="5" t="str">
        <f>IF(SessionMovements[[#This Row],[MovementID]]="","",
   _xlfn.XLOOKUP(SessionMovements[[#This Row],[MovementID]], MovementLibrary[MovementID], MovementLibrary[Modality], "")
)</f>
        <v>Gymnastics</v>
      </c>
      <c r="E244" s="5" t="str">
        <f>IF(SessionMovements[[#This Row],[MovementID]]="","",
   _xlfn.XLOOKUP(SessionMovements[[#This Row],[MovementID]], MovementLibrary[MovementID], MovementLibrary[Unit], "")
)</f>
        <v>sec</v>
      </c>
      <c r="F2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4">
        <v>3</v>
      </c>
      <c r="H244" t="s">
        <v>948</v>
      </c>
      <c r="L244" s="5" t="str">
        <f>IF(COUNTIF(Sessions[SessionID],SessionMovements[[#This Row],[SessionID]])=0,"❌ Missing","✔ OK")</f>
        <v>✔ OK</v>
      </c>
    </row>
    <row r="245" spans="1:12" x14ac:dyDescent="0.3">
      <c r="A245" t="s">
        <v>974</v>
      </c>
      <c r="B245" t="s">
        <v>668</v>
      </c>
      <c r="C245" t="str">
        <f>IF(SessionMovements[[#This Row],[MovementID]]="","",
   _xlfn.XLOOKUP(SessionMovements[[#This Row],[MovementID]],MovementLibrary[MovementID],MovementLibrary[Name],"")
)</f>
        <v>Power Snatch + OHS (Complex)</v>
      </c>
      <c r="D245" s="5" t="str">
        <f>IF(SessionMovements[[#This Row],[MovementID]]="","",
   _xlfn.XLOOKUP(SessionMovements[[#This Row],[MovementID]], MovementLibrary[MovementID], MovementLibrary[Modality], "")
)</f>
        <v>Barbell</v>
      </c>
      <c r="E245" s="5" t="str">
        <f>IF(SessionMovements[[#This Row],[MovementID]]="","",
   _xlfn.XLOOKUP(SessionMovements[[#This Row],[MovementID]], MovementLibrary[MovementID], MovementLibrary[Unit], "")
)</f>
        <v>kg</v>
      </c>
      <c r="F2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5">
        <v>6</v>
      </c>
      <c r="H245" t="s">
        <v>943</v>
      </c>
      <c r="K245" t="s">
        <v>975</v>
      </c>
      <c r="L245" s="5" t="str">
        <f>IF(COUNTIF(Sessions[SessionID],SessionMovements[[#This Row],[SessionID]])=0,"❌ Missing","✔ OK")</f>
        <v>✔ OK</v>
      </c>
    </row>
    <row r="246" spans="1:12" x14ac:dyDescent="0.3">
      <c r="A246" t="s">
        <v>974</v>
      </c>
      <c r="B246" t="s">
        <v>659</v>
      </c>
      <c r="C246" t="str">
        <f>IF(SessionMovements[[#This Row],[MovementID]]="","",
   _xlfn.XLOOKUP(SessionMovements[[#This Row],[MovementID]],MovementLibrary[MovementID],MovementLibrary[Name],"")
)</f>
        <v>Snatch High Pull</v>
      </c>
      <c r="D246" s="5" t="str">
        <f>IF(SessionMovements[[#This Row],[MovementID]]="","",
   _xlfn.XLOOKUP(SessionMovements[[#This Row],[MovementID]], MovementLibrary[MovementID], MovementLibrary[Modality], "")
)</f>
        <v>Barbell</v>
      </c>
      <c r="E246" s="5" t="str">
        <f>IF(SessionMovements[[#This Row],[MovementID]]="","",
   _xlfn.XLOOKUP(SessionMovements[[#This Row],[MovementID]], MovementLibrary[MovementID], MovementLibrary[Unit], "")
)</f>
        <v>kg</v>
      </c>
      <c r="F2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6">
        <v>5</v>
      </c>
      <c r="H246">
        <v>3</v>
      </c>
      <c r="K246" t="s">
        <v>970</v>
      </c>
      <c r="L246" s="5" t="str">
        <f>IF(COUNTIF(Sessions[SessionID],SessionMovements[[#This Row],[SessionID]])=0,"❌ Missing","✔ OK")</f>
        <v>✔ OK</v>
      </c>
    </row>
    <row r="247" spans="1:12" x14ac:dyDescent="0.3">
      <c r="A247" t="s">
        <v>974</v>
      </c>
      <c r="B247" t="s">
        <v>296</v>
      </c>
      <c r="C247" t="str">
        <f>IF(SessionMovements[[#This Row],[MovementID]]="","",
   _xlfn.XLOOKUP(SessionMovements[[#This Row],[MovementID]],MovementLibrary[MovementID],MovementLibrary[Name],"")
)</f>
        <v>Front Squat</v>
      </c>
      <c r="D247" s="5" t="str">
        <f>IF(SessionMovements[[#This Row],[MovementID]]="","",
   _xlfn.XLOOKUP(SessionMovements[[#This Row],[MovementID]], MovementLibrary[MovementID], MovementLibrary[Modality], "")
)</f>
        <v>Barbell</v>
      </c>
      <c r="E247" s="5" t="str">
        <f>IF(SessionMovements[[#This Row],[MovementID]]="","",
   _xlfn.XLOOKUP(SessionMovements[[#This Row],[MovementID]], MovementLibrary[MovementID], MovementLibrary[Unit], "")
)</f>
        <v>kg</v>
      </c>
      <c r="F2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7">
        <v>5</v>
      </c>
      <c r="H247">
        <v>3</v>
      </c>
      <c r="J247">
        <v>80</v>
      </c>
      <c r="L247" s="5" t="str">
        <f>IF(COUNTIF(Sessions[SessionID],SessionMovements[[#This Row],[SessionID]])=0,"❌ Missing","✔ OK")</f>
        <v>✔ OK</v>
      </c>
    </row>
    <row r="248" spans="1:12" x14ac:dyDescent="0.3">
      <c r="A248" t="s">
        <v>974</v>
      </c>
      <c r="B248" t="s">
        <v>671</v>
      </c>
      <c r="C248" t="str">
        <f>IF(SessionMovements[[#This Row],[MovementID]]="","",
   _xlfn.XLOOKUP(SessionMovements[[#This Row],[MovementID]],MovementLibrary[MovementID],MovementLibrary[Name],"")
)</f>
        <v>Snatch Press (Behind-the-neck)</v>
      </c>
      <c r="D248" s="5" t="str">
        <f>IF(SessionMovements[[#This Row],[MovementID]]="","",
   _xlfn.XLOOKUP(SessionMovements[[#This Row],[MovementID]], MovementLibrary[MovementID], MovementLibrary[Modality], "")
)</f>
        <v>Barbell</v>
      </c>
      <c r="E248" s="5" t="str">
        <f>IF(SessionMovements[[#This Row],[MovementID]]="","",
   _xlfn.XLOOKUP(SessionMovements[[#This Row],[MovementID]], MovementLibrary[MovementID], MovementLibrary[Unit], "")
)</f>
        <v>kg</v>
      </c>
      <c r="F2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8">
        <v>5</v>
      </c>
      <c r="H248">
        <v>4</v>
      </c>
      <c r="K248" t="s">
        <v>968</v>
      </c>
      <c r="L248" s="5" t="str">
        <f>IF(COUNTIF(Sessions[SessionID],SessionMovements[[#This Row],[SessionID]])=0,"❌ Missing","✔ OK")</f>
        <v>✔ OK</v>
      </c>
    </row>
    <row r="249" spans="1:12" x14ac:dyDescent="0.3">
      <c r="A249" t="s">
        <v>974</v>
      </c>
      <c r="B249" t="s">
        <v>527</v>
      </c>
      <c r="C249" t="str">
        <f>IF(SessionMovements[[#This Row],[MovementID]]="","",
   _xlfn.XLOOKUP(SessionMovements[[#This Row],[MovementID]],MovementLibrary[MovementID],MovementLibrary[Name],"")
)</f>
        <v>L-Sit Hold</v>
      </c>
      <c r="D249" s="5" t="str">
        <f>IF(SessionMovements[[#This Row],[MovementID]]="","",
   _xlfn.XLOOKUP(SessionMovements[[#This Row],[MovementID]], MovementLibrary[MovementID], MovementLibrary[Modality], "")
)</f>
        <v>Gymnastics</v>
      </c>
      <c r="E249" s="5" t="str">
        <f>IF(SessionMovements[[#This Row],[MovementID]]="","",
   _xlfn.XLOOKUP(SessionMovements[[#This Row],[MovementID]], MovementLibrary[MovementID], MovementLibrary[Unit], "")
)</f>
        <v>sec</v>
      </c>
      <c r="F2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49">
        <v>3</v>
      </c>
      <c r="H249">
        <v>5</v>
      </c>
      <c r="K249" t="s">
        <v>952</v>
      </c>
      <c r="L249" s="5" t="str">
        <f>IF(COUNTIF(Sessions[SessionID],SessionMovements[[#This Row],[SessionID]])=0,"❌ Missing","✔ OK")</f>
        <v>✔ OK</v>
      </c>
    </row>
    <row r="250" spans="1:12" x14ac:dyDescent="0.3">
      <c r="A250" t="s">
        <v>974</v>
      </c>
      <c r="B250" t="s">
        <v>783</v>
      </c>
      <c r="C250" t="str">
        <f>IF(SessionMovements[[#This Row],[MovementID]]="","",
   _xlfn.XLOOKUP(SessionMovements[[#This Row],[MovementID]],MovementLibrary[MovementID],MovementLibrary[Name],"")
)</f>
        <v>Scap Pull (Bar/Rings)</v>
      </c>
      <c r="D250" s="5" t="str">
        <f>IF(SessionMovements[[#This Row],[MovementID]]="","",
   _xlfn.XLOOKUP(SessionMovements[[#This Row],[MovementID]], MovementLibrary[MovementID], MovementLibrary[Modality], "")
)</f>
        <v>Gymnastics</v>
      </c>
      <c r="E250" s="5" t="str">
        <f>IF(SessionMovements[[#This Row],[MovementID]]="","",
   _xlfn.XLOOKUP(SessionMovements[[#This Row],[MovementID]], MovementLibrary[MovementID], MovementLibrary[Unit], "")
)</f>
        <v>reps</v>
      </c>
      <c r="F2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0">
        <v>3</v>
      </c>
      <c r="H250" t="s">
        <v>948</v>
      </c>
      <c r="K250" t="s">
        <v>953</v>
      </c>
      <c r="L250" s="5" t="str">
        <f>IF(COUNTIF(Sessions[SessionID],SessionMovements[[#This Row],[SessionID]])=0,"❌ Missing","✔ OK")</f>
        <v>✔ OK</v>
      </c>
    </row>
    <row r="251" spans="1:12" x14ac:dyDescent="0.3">
      <c r="A251" t="s">
        <v>974</v>
      </c>
      <c r="B251" t="s">
        <v>735</v>
      </c>
      <c r="C251" t="str">
        <f>IF(SessionMovements[[#This Row],[MovementID]]="","",
   _xlfn.XLOOKUP(SessionMovements[[#This Row],[MovementID]],MovementLibrary[MovementID],MovementLibrary[Name],"")
)</f>
        <v>Hollow Rock</v>
      </c>
      <c r="D251" s="5" t="str">
        <f>IF(SessionMovements[[#This Row],[MovementID]]="","",
   _xlfn.XLOOKUP(SessionMovements[[#This Row],[MovementID]], MovementLibrary[MovementID], MovementLibrary[Modality], "")
)</f>
        <v>Gymnastics</v>
      </c>
      <c r="E251" s="5" t="str">
        <f>IF(SessionMovements[[#This Row],[MovementID]]="","",
   _xlfn.XLOOKUP(SessionMovements[[#This Row],[MovementID]], MovementLibrary[MovementID], MovementLibrary[Unit], "")
)</f>
        <v>reps</v>
      </c>
      <c r="F2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1">
        <v>3</v>
      </c>
      <c r="H251">
        <v>15</v>
      </c>
      <c r="L251" s="5" t="str">
        <f>IF(COUNTIF(Sessions[SessionID],SessionMovements[[#This Row],[SessionID]])=0,"❌ Missing","✔ OK")</f>
        <v>✔ OK</v>
      </c>
    </row>
    <row r="252" spans="1:12" x14ac:dyDescent="0.3">
      <c r="A252" t="s">
        <v>976</v>
      </c>
      <c r="B252" t="s">
        <v>260</v>
      </c>
      <c r="C252" t="str">
        <f>IF(SessionMovements[[#This Row],[MovementID]]="","",
   _xlfn.XLOOKUP(SessionMovements[[#This Row],[MovementID]],MovementLibrary[MovementID],MovementLibrary[Name],"")
)</f>
        <v>Snatch</v>
      </c>
      <c r="D252" s="5" t="str">
        <f>IF(SessionMovements[[#This Row],[MovementID]]="","",
   _xlfn.XLOOKUP(SessionMovements[[#This Row],[MovementID]], MovementLibrary[MovementID], MovementLibrary[Modality], "")
)</f>
        <v>Barbell</v>
      </c>
      <c r="E252" s="5" t="str">
        <f>IF(SessionMovements[[#This Row],[MovementID]]="","",
   _xlfn.XLOOKUP(SessionMovements[[#This Row],[MovementID]], MovementLibrary[MovementID], MovementLibrary[Unit], "")
)</f>
        <v>kg</v>
      </c>
      <c r="F2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2">
        <v>5</v>
      </c>
      <c r="H252">
        <v>3</v>
      </c>
      <c r="L252" s="5" t="str">
        <f>IF(COUNTIF(Sessions[SessionID],SessionMovements[[#This Row],[SessionID]])=0,"❌ Missing","✔ OK")</f>
        <v>✔ OK</v>
      </c>
    </row>
    <row r="253" spans="1:12" x14ac:dyDescent="0.3">
      <c r="A253" t="s">
        <v>976</v>
      </c>
      <c r="B253" t="s">
        <v>534</v>
      </c>
      <c r="C253" t="str">
        <f>IF(SessionMovements[[#This Row],[MovementID]]="","",
   _xlfn.XLOOKUP(SessionMovements[[#This Row],[MovementID]],MovementLibrary[MovementID],MovementLibrary[Name],"")
)</f>
        <v>Snatch Pull</v>
      </c>
      <c r="D253" s="5" t="str">
        <f>IF(SessionMovements[[#This Row],[MovementID]]="","",
   _xlfn.XLOOKUP(SessionMovements[[#This Row],[MovementID]], MovementLibrary[MovementID], MovementLibrary[Modality], "")
)</f>
        <v>Barbell</v>
      </c>
      <c r="E253" s="5" t="str">
        <f>IF(SessionMovements[[#This Row],[MovementID]]="","",
   _xlfn.XLOOKUP(SessionMovements[[#This Row],[MovementID]], MovementLibrary[MovementID], MovementLibrary[Unit], "")
)</f>
        <v>kg</v>
      </c>
      <c r="F2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3">
        <v>3</v>
      </c>
      <c r="H253">
        <v>5</v>
      </c>
      <c r="L253" s="5" t="str">
        <f>IF(COUNTIF(Sessions[SessionID],SessionMovements[[#This Row],[SessionID]])=0,"❌ Missing","✔ OK")</f>
        <v>✔ OK</v>
      </c>
    </row>
    <row r="254" spans="1:12" x14ac:dyDescent="0.3">
      <c r="A254" t="s">
        <v>976</v>
      </c>
      <c r="B254" t="s">
        <v>298</v>
      </c>
      <c r="C254" t="str">
        <f>IF(SessionMovements[[#This Row],[MovementID]]="","",
   _xlfn.XLOOKUP(SessionMovements[[#This Row],[MovementID]],MovementLibrary[MovementID],MovementLibrary[Name],"")
)</f>
        <v>Back Squat</v>
      </c>
      <c r="D254" s="5" t="str">
        <f>IF(SessionMovements[[#This Row],[MovementID]]="","",
   _xlfn.XLOOKUP(SessionMovements[[#This Row],[MovementID]], MovementLibrary[MovementID], MovementLibrary[Modality], "")
)</f>
        <v>Barbell</v>
      </c>
      <c r="E254" s="5" t="str">
        <f>IF(SessionMovements[[#This Row],[MovementID]]="","",
   _xlfn.XLOOKUP(SessionMovements[[#This Row],[MovementID]], MovementLibrary[MovementID], MovementLibrary[Unit], "")
)</f>
        <v>kg</v>
      </c>
      <c r="F2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4">
        <v>3</v>
      </c>
      <c r="H254">
        <v>8</v>
      </c>
      <c r="L254" s="5" t="str">
        <f>IF(COUNTIF(Sessions[SessionID],SessionMovements[[#This Row],[SessionID]])=0,"❌ Missing","✔ OK")</f>
        <v>✔ OK</v>
      </c>
    </row>
    <row r="255" spans="1:12" x14ac:dyDescent="0.3">
      <c r="A255" t="s">
        <v>976</v>
      </c>
      <c r="B255" t="s">
        <v>434</v>
      </c>
      <c r="C255" t="str">
        <f>IF(SessionMovements[[#This Row],[MovementID]]="","",
   _xlfn.XLOOKUP(SessionMovements[[#This Row],[MovementID]],MovementLibrary[MovementID],MovementLibrary[Name],"")
)</f>
        <v>Back Extension</v>
      </c>
      <c r="D255" s="5" t="str">
        <f>IF(SessionMovements[[#This Row],[MovementID]]="","",
   _xlfn.XLOOKUP(SessionMovements[[#This Row],[MovementID]], MovementLibrary[MovementID], MovementLibrary[Modality], "")
)</f>
        <v>Gymnastics</v>
      </c>
      <c r="E255" s="5" t="str">
        <f>IF(SessionMovements[[#This Row],[MovementID]]="","",
   _xlfn.XLOOKUP(SessionMovements[[#This Row],[MovementID]], MovementLibrary[MovementID], MovementLibrary[Unit], "")
)</f>
        <v>reps</v>
      </c>
      <c r="F2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5">
        <v>4</v>
      </c>
      <c r="H255">
        <v>8</v>
      </c>
      <c r="L255" s="5" t="str">
        <f>IF(COUNTIF(Sessions[SessionID],SessionMovements[[#This Row],[SessionID]])=0,"❌ Missing","✔ OK")</f>
        <v>✔ OK</v>
      </c>
    </row>
    <row r="256" spans="1:12" x14ac:dyDescent="0.3">
      <c r="A256" t="s">
        <v>976</v>
      </c>
      <c r="B256" t="s">
        <v>428</v>
      </c>
      <c r="C256" t="str">
        <f>IF(SessionMovements[[#This Row],[MovementID]]="","",
   _xlfn.XLOOKUP(SessionMovements[[#This Row],[MovementID]],MovementLibrary[MovementID],MovementLibrary[Name],"")
)</f>
        <v>AbMat Sit-Up</v>
      </c>
      <c r="D256" s="5" t="str">
        <f>IF(SessionMovements[[#This Row],[MovementID]]="","",
   _xlfn.XLOOKUP(SessionMovements[[#This Row],[MovementID]], MovementLibrary[MovementID], MovementLibrary[Modality], "")
)</f>
        <v>Gymnastics</v>
      </c>
      <c r="E256" s="5" t="str">
        <f>IF(SessionMovements[[#This Row],[MovementID]]="","",
   _xlfn.XLOOKUP(SessionMovements[[#This Row],[MovementID]], MovementLibrary[MovementID], MovementLibrary[Unit], "")
)</f>
        <v>reps</v>
      </c>
      <c r="F2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56" t="s">
        <v>977</v>
      </c>
      <c r="L256" s="5" t="str">
        <f>IF(COUNTIF(Sessions[SessionID],SessionMovements[[#This Row],[SessionID]])=0,"❌ Missing","✔ OK")</f>
        <v>✔ OK</v>
      </c>
    </row>
    <row r="257" spans="1:12" x14ac:dyDescent="0.3">
      <c r="A257" t="s">
        <v>978</v>
      </c>
      <c r="B257" t="s">
        <v>261</v>
      </c>
      <c r="C257" t="str">
        <f>IF(SessionMovements[[#This Row],[MovementID]]="","",
   _xlfn.XLOOKUP(SessionMovements[[#This Row],[MovementID]],MovementLibrary[MovementID],MovementLibrary[Name],"")
)</f>
        <v>Clean &amp; Jerk</v>
      </c>
      <c r="D257" s="5" t="str">
        <f>IF(SessionMovements[[#This Row],[MovementID]]="","",
   _xlfn.XLOOKUP(SessionMovements[[#This Row],[MovementID]], MovementLibrary[MovementID], MovementLibrary[Modality], "")
)</f>
        <v>Barbell</v>
      </c>
      <c r="E257" s="5" t="str">
        <f>IF(SessionMovements[[#This Row],[MovementID]]="","",
   _xlfn.XLOOKUP(SessionMovements[[#This Row],[MovementID]], MovementLibrary[MovementID], MovementLibrary[Unit], "")
)</f>
        <v>kg</v>
      </c>
      <c r="F2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7">
        <v>5</v>
      </c>
      <c r="H257" t="s">
        <v>979</v>
      </c>
      <c r="L257" s="5" t="str">
        <f>IF(COUNTIF(Sessions[SessionID],SessionMovements[[#This Row],[SessionID]])=0,"❌ Missing","✔ OK")</f>
        <v>✔ OK</v>
      </c>
    </row>
    <row r="258" spans="1:12" x14ac:dyDescent="0.3">
      <c r="A258" t="s">
        <v>978</v>
      </c>
      <c r="B258" t="s">
        <v>537</v>
      </c>
      <c r="C258" t="str">
        <f>IF(SessionMovements[[#This Row],[MovementID]]="","",
   _xlfn.XLOOKUP(SessionMovements[[#This Row],[MovementID]],MovementLibrary[MovementID],MovementLibrary[Name],"")
)</f>
        <v>Clean Pull</v>
      </c>
      <c r="D258" s="5" t="str">
        <f>IF(SessionMovements[[#This Row],[MovementID]]="","",
   _xlfn.XLOOKUP(SessionMovements[[#This Row],[MovementID]], MovementLibrary[MovementID], MovementLibrary[Modality], "")
)</f>
        <v>Barbell</v>
      </c>
      <c r="E258" s="5" t="str">
        <f>IF(SessionMovements[[#This Row],[MovementID]]="","",
   _xlfn.XLOOKUP(SessionMovements[[#This Row],[MovementID]], MovementLibrary[MovementID], MovementLibrary[Unit], "")
)</f>
        <v>kg</v>
      </c>
      <c r="F2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8">
        <v>3</v>
      </c>
      <c r="H258">
        <v>5</v>
      </c>
      <c r="L258" s="5" t="str">
        <f>IF(COUNTIF(Sessions[SessionID],SessionMovements[[#This Row],[SessionID]])=0,"❌ Missing","✔ OK")</f>
        <v>✔ OK</v>
      </c>
    </row>
    <row r="259" spans="1:12" x14ac:dyDescent="0.3">
      <c r="A259" t="s">
        <v>978</v>
      </c>
      <c r="B259" t="s">
        <v>292</v>
      </c>
      <c r="C259" t="str">
        <f>IF(SessionMovements[[#This Row],[MovementID]]="","",
   _xlfn.XLOOKUP(SessionMovements[[#This Row],[MovementID]],MovementLibrary[MovementID],MovementLibrary[Name],"")
)</f>
        <v>Push Press</v>
      </c>
      <c r="D259" s="5" t="str">
        <f>IF(SessionMovements[[#This Row],[MovementID]]="","",
   _xlfn.XLOOKUP(SessionMovements[[#This Row],[MovementID]], MovementLibrary[MovementID], MovementLibrary[Modality], "")
)</f>
        <v>Barbell</v>
      </c>
      <c r="E259" s="5" t="str">
        <f>IF(SessionMovements[[#This Row],[MovementID]]="","",
   _xlfn.XLOOKUP(SessionMovements[[#This Row],[MovementID]], MovementLibrary[MovementID], MovementLibrary[Unit], "")
)</f>
        <v>kg</v>
      </c>
      <c r="F2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59">
        <v>3</v>
      </c>
      <c r="H259">
        <v>5</v>
      </c>
      <c r="L259" s="5" t="str">
        <f>IF(COUNTIF(Sessions[SessionID],SessionMovements[[#This Row],[SessionID]])=0,"❌ Missing","✔ OK")</f>
        <v>✔ OK</v>
      </c>
    </row>
    <row r="260" spans="1:12" x14ac:dyDescent="0.3">
      <c r="A260" t="s">
        <v>978</v>
      </c>
      <c r="B260" t="s">
        <v>434</v>
      </c>
      <c r="C260" t="str">
        <f>IF(SessionMovements[[#This Row],[MovementID]]="","",
   _xlfn.XLOOKUP(SessionMovements[[#This Row],[MovementID]],MovementLibrary[MovementID],MovementLibrary[Name],"")
)</f>
        <v>Back Extension</v>
      </c>
      <c r="D260" s="5" t="str">
        <f>IF(SessionMovements[[#This Row],[MovementID]]="","",
   _xlfn.XLOOKUP(SessionMovements[[#This Row],[MovementID]], MovementLibrary[MovementID], MovementLibrary[Modality], "")
)</f>
        <v>Gymnastics</v>
      </c>
      <c r="E260" s="5" t="str">
        <f>IF(SessionMovements[[#This Row],[MovementID]]="","",
   _xlfn.XLOOKUP(SessionMovements[[#This Row],[MovementID]], MovementLibrary[MovementID], MovementLibrary[Unit], "")
)</f>
        <v>reps</v>
      </c>
      <c r="F2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0">
        <v>4</v>
      </c>
      <c r="H260">
        <v>8</v>
      </c>
      <c r="L260" s="5" t="str">
        <f>IF(COUNTIF(Sessions[SessionID],SessionMovements[[#This Row],[SessionID]])=0,"❌ Missing","✔ OK")</f>
        <v>✔ OK</v>
      </c>
    </row>
    <row r="261" spans="1:12" x14ac:dyDescent="0.3">
      <c r="A261" t="s">
        <v>978</v>
      </c>
      <c r="B261" t="s">
        <v>428</v>
      </c>
      <c r="C261" t="str">
        <f>IF(SessionMovements[[#This Row],[MovementID]]="","",
   _xlfn.XLOOKUP(SessionMovements[[#This Row],[MovementID]],MovementLibrary[MovementID],MovementLibrary[Name],"")
)</f>
        <v>AbMat Sit-Up</v>
      </c>
      <c r="D261" s="5" t="str">
        <f>IF(SessionMovements[[#This Row],[MovementID]]="","",
   _xlfn.XLOOKUP(SessionMovements[[#This Row],[MovementID]], MovementLibrary[MovementID], MovementLibrary[Modality], "")
)</f>
        <v>Gymnastics</v>
      </c>
      <c r="E261" s="5" t="str">
        <f>IF(SessionMovements[[#This Row],[MovementID]]="","",
   _xlfn.XLOOKUP(SessionMovements[[#This Row],[MovementID]], MovementLibrary[MovementID], MovementLibrary[Unit], "")
)</f>
        <v>reps</v>
      </c>
      <c r="F2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61" t="s">
        <v>977</v>
      </c>
      <c r="L261" s="5" t="str">
        <f>IF(COUNTIF(Sessions[SessionID],SessionMovements[[#This Row],[SessionID]])=0,"❌ Missing","✔ OK")</f>
        <v>✔ OK</v>
      </c>
    </row>
    <row r="262" spans="1:12" x14ac:dyDescent="0.3">
      <c r="A262" t="s">
        <v>980</v>
      </c>
      <c r="B262" t="s">
        <v>275</v>
      </c>
      <c r="C262" t="str">
        <f>IF(SessionMovements[[#This Row],[MovementID]]="","",
   _xlfn.XLOOKUP(SessionMovements[[#This Row],[MovementID]],MovementLibrary[MovementID],MovementLibrary[Name],"")
)</f>
        <v>Power Snatch</v>
      </c>
      <c r="D262" s="5" t="str">
        <f>IF(SessionMovements[[#This Row],[MovementID]]="","",
   _xlfn.XLOOKUP(SessionMovements[[#This Row],[MovementID]], MovementLibrary[MovementID], MovementLibrary[Modality], "")
)</f>
        <v>Barbell</v>
      </c>
      <c r="E262" s="5" t="str">
        <f>IF(SessionMovements[[#This Row],[MovementID]]="","",
   _xlfn.XLOOKUP(SessionMovements[[#This Row],[MovementID]], MovementLibrary[MovementID], MovementLibrary[Unit], "")
)</f>
        <v>kg</v>
      </c>
      <c r="F2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2">
        <v>5</v>
      </c>
      <c r="H262">
        <v>3</v>
      </c>
      <c r="L262" s="5" t="str">
        <f>IF(COUNTIF(Sessions[SessionID],SessionMovements[[#This Row],[SessionID]])=0,"❌ Missing","✔ OK")</f>
        <v>✔ OK</v>
      </c>
    </row>
    <row r="263" spans="1:12" x14ac:dyDescent="0.3">
      <c r="A263" t="s">
        <v>980</v>
      </c>
      <c r="B263" t="s">
        <v>668</v>
      </c>
      <c r="C263" t="str">
        <f>IF(SessionMovements[[#This Row],[MovementID]]="","",
   _xlfn.XLOOKUP(SessionMovements[[#This Row],[MovementID]],MovementLibrary[MovementID],MovementLibrary[Name],"")
)</f>
        <v>Power Snatch + OHS (Complex)</v>
      </c>
      <c r="D263" s="5" t="str">
        <f>IF(SessionMovements[[#This Row],[MovementID]]="","",
   _xlfn.XLOOKUP(SessionMovements[[#This Row],[MovementID]], MovementLibrary[MovementID], MovementLibrary[Modality], "")
)</f>
        <v>Barbell</v>
      </c>
      <c r="E263" s="5" t="str">
        <f>IF(SessionMovements[[#This Row],[MovementID]]="","",
   _xlfn.XLOOKUP(SessionMovements[[#This Row],[MovementID]], MovementLibrary[MovementID], MovementLibrary[Unit], "")
)</f>
        <v>kg</v>
      </c>
      <c r="F2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3">
        <v>4</v>
      </c>
      <c r="H263" t="s">
        <v>981</v>
      </c>
      <c r="L263" s="5" t="str">
        <f>IF(COUNTIF(Sessions[SessionID],SessionMovements[[#This Row],[SessionID]])=0,"❌ Missing","✔ OK")</f>
        <v>✔ OK</v>
      </c>
    </row>
    <row r="264" spans="1:12" x14ac:dyDescent="0.3">
      <c r="A264" t="s">
        <v>980</v>
      </c>
      <c r="B264" t="s">
        <v>296</v>
      </c>
      <c r="C264" t="str">
        <f>IF(SessionMovements[[#This Row],[MovementID]]="","",
   _xlfn.XLOOKUP(SessionMovements[[#This Row],[MovementID]],MovementLibrary[MovementID],MovementLibrary[Name],"")
)</f>
        <v>Front Squat</v>
      </c>
      <c r="D264" s="5" t="str">
        <f>IF(SessionMovements[[#This Row],[MovementID]]="","",
   _xlfn.XLOOKUP(SessionMovements[[#This Row],[MovementID]], MovementLibrary[MovementID], MovementLibrary[Modality], "")
)</f>
        <v>Barbell</v>
      </c>
      <c r="E264" s="5" t="str">
        <f>IF(SessionMovements[[#This Row],[MovementID]]="","",
   _xlfn.XLOOKUP(SessionMovements[[#This Row],[MovementID]], MovementLibrary[MovementID], MovementLibrary[Unit], "")
)</f>
        <v>kg</v>
      </c>
      <c r="F2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4">
        <v>3</v>
      </c>
      <c r="H264">
        <v>5</v>
      </c>
      <c r="L264" s="5" t="str">
        <f>IF(COUNTIF(Sessions[SessionID],SessionMovements[[#This Row],[SessionID]])=0,"❌ Missing","✔ OK")</f>
        <v>✔ OK</v>
      </c>
    </row>
    <row r="265" spans="1:12" x14ac:dyDescent="0.3">
      <c r="A265" t="s">
        <v>980</v>
      </c>
      <c r="B265" t="s">
        <v>434</v>
      </c>
      <c r="C265" t="str">
        <f>IF(SessionMovements[[#This Row],[MovementID]]="","",
   _xlfn.XLOOKUP(SessionMovements[[#This Row],[MovementID]],MovementLibrary[MovementID],MovementLibrary[Name],"")
)</f>
        <v>Back Extension</v>
      </c>
      <c r="D265" s="5" t="str">
        <f>IF(SessionMovements[[#This Row],[MovementID]]="","",
   _xlfn.XLOOKUP(SessionMovements[[#This Row],[MovementID]], MovementLibrary[MovementID], MovementLibrary[Modality], "")
)</f>
        <v>Gymnastics</v>
      </c>
      <c r="E265" s="5" t="str">
        <f>IF(SessionMovements[[#This Row],[MovementID]]="","",
   _xlfn.XLOOKUP(SessionMovements[[#This Row],[MovementID]], MovementLibrary[MovementID], MovementLibrary[Unit], "")
)</f>
        <v>reps</v>
      </c>
      <c r="F2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5">
        <v>4</v>
      </c>
      <c r="H265">
        <v>8</v>
      </c>
      <c r="L265" s="5" t="str">
        <f>IF(COUNTIF(Sessions[SessionID],SessionMovements[[#This Row],[SessionID]])=0,"❌ Missing","✔ OK")</f>
        <v>✔ OK</v>
      </c>
    </row>
    <row r="266" spans="1:12" x14ac:dyDescent="0.3">
      <c r="A266" t="s">
        <v>980</v>
      </c>
      <c r="B266" t="s">
        <v>428</v>
      </c>
      <c r="C266" t="str">
        <f>IF(SessionMovements[[#This Row],[MovementID]]="","",
   _xlfn.XLOOKUP(SessionMovements[[#This Row],[MovementID]],MovementLibrary[MovementID],MovementLibrary[Name],"")
)</f>
        <v>AbMat Sit-Up</v>
      </c>
      <c r="D266" s="5" t="str">
        <f>IF(SessionMovements[[#This Row],[MovementID]]="","",
   _xlfn.XLOOKUP(SessionMovements[[#This Row],[MovementID]], MovementLibrary[MovementID], MovementLibrary[Modality], "")
)</f>
        <v>Gymnastics</v>
      </c>
      <c r="E266" s="5" t="str">
        <f>IF(SessionMovements[[#This Row],[MovementID]]="","",
   _xlfn.XLOOKUP(SessionMovements[[#This Row],[MovementID]], MovementLibrary[MovementID], MovementLibrary[Unit], "")
)</f>
        <v>reps</v>
      </c>
      <c r="F2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66" t="s">
        <v>977</v>
      </c>
      <c r="L266" s="5" t="str">
        <f>IF(COUNTIF(Sessions[SessionID],SessionMovements[[#This Row],[SessionID]])=0,"❌ Missing","✔ OK")</f>
        <v>✔ OK</v>
      </c>
    </row>
    <row r="267" spans="1:12" x14ac:dyDescent="0.3">
      <c r="A267" t="s">
        <v>982</v>
      </c>
      <c r="B267" t="s">
        <v>259</v>
      </c>
      <c r="C267" t="str">
        <f>IF(SessionMovements[[#This Row],[MovementID]]="","",
   _xlfn.XLOOKUP(SessionMovements[[#This Row],[MovementID]],MovementLibrary[MovementID],MovementLibrary[Name],"")
)</f>
        <v>Power Clean</v>
      </c>
      <c r="D267" s="5" t="str">
        <f>IF(SessionMovements[[#This Row],[MovementID]]="","",
   _xlfn.XLOOKUP(SessionMovements[[#This Row],[MovementID]], MovementLibrary[MovementID], MovementLibrary[Modality], "")
)</f>
        <v>Barbell</v>
      </c>
      <c r="E267" s="5" t="str">
        <f>IF(SessionMovements[[#This Row],[MovementID]]="","",
   _xlfn.XLOOKUP(SessionMovements[[#This Row],[MovementID]], MovementLibrary[MovementID], MovementLibrary[Unit], "")
)</f>
        <v>kg</v>
      </c>
      <c r="F2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7">
        <v>5</v>
      </c>
      <c r="H267">
        <v>3</v>
      </c>
      <c r="L267" s="5" t="str">
        <f>IF(COUNTIF(Sessions[SessionID],SessionMovements[[#This Row],[SessionID]])=0,"❌ Missing","✔ OK")</f>
        <v>✔ OK</v>
      </c>
    </row>
    <row r="268" spans="1:12" x14ac:dyDescent="0.3">
      <c r="A268" t="s">
        <v>982</v>
      </c>
      <c r="B268" t="s">
        <v>290</v>
      </c>
      <c r="C268" t="str">
        <f>IF(SessionMovements[[#This Row],[MovementID]]="","",
   _xlfn.XLOOKUP(SessionMovements[[#This Row],[MovementID]],MovementLibrary[MovementID],MovementLibrary[Name],"")
)</f>
        <v>Push Jerk</v>
      </c>
      <c r="D268" s="5" t="str">
        <f>IF(SessionMovements[[#This Row],[MovementID]]="","",
   _xlfn.XLOOKUP(SessionMovements[[#This Row],[MovementID]], MovementLibrary[MovementID], MovementLibrary[Modality], "")
)</f>
        <v>Barbell</v>
      </c>
      <c r="E268" s="5" t="str">
        <f>IF(SessionMovements[[#This Row],[MovementID]]="","",
   _xlfn.XLOOKUP(SessionMovements[[#This Row],[MovementID]], MovementLibrary[MovementID], MovementLibrary[Unit], "")
)</f>
        <v>kg</v>
      </c>
      <c r="F2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8">
        <v>5</v>
      </c>
      <c r="H268">
        <v>1</v>
      </c>
      <c r="L268" s="5" t="str">
        <f>IF(COUNTIF(Sessions[SessionID],SessionMovements[[#This Row],[SessionID]])=0,"❌ Missing","✔ OK")</f>
        <v>✔ OK</v>
      </c>
    </row>
    <row r="269" spans="1:12" x14ac:dyDescent="0.3">
      <c r="A269" t="s">
        <v>982</v>
      </c>
      <c r="B269" t="s">
        <v>537</v>
      </c>
      <c r="C269" t="str">
        <f>IF(SessionMovements[[#This Row],[MovementID]]="","",
   _xlfn.XLOOKUP(SessionMovements[[#This Row],[MovementID]],MovementLibrary[MovementID],MovementLibrary[Name],"")
)</f>
        <v>Clean Pull</v>
      </c>
      <c r="D269" s="5" t="str">
        <f>IF(SessionMovements[[#This Row],[MovementID]]="","",
   _xlfn.XLOOKUP(SessionMovements[[#This Row],[MovementID]], MovementLibrary[MovementID], MovementLibrary[Modality], "")
)</f>
        <v>Barbell</v>
      </c>
      <c r="E269" s="5" t="str">
        <f>IF(SessionMovements[[#This Row],[MovementID]]="","",
   _xlfn.XLOOKUP(SessionMovements[[#This Row],[MovementID]], MovementLibrary[MovementID], MovementLibrary[Unit], "")
)</f>
        <v>kg</v>
      </c>
      <c r="F2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69">
        <v>3</v>
      </c>
      <c r="H269">
        <v>5</v>
      </c>
      <c r="L269" s="5" t="str">
        <f>IF(COUNTIF(Sessions[SessionID],SessionMovements[[#This Row],[SessionID]])=0,"❌ Missing","✔ OK")</f>
        <v>✔ OK</v>
      </c>
    </row>
    <row r="270" spans="1:12" x14ac:dyDescent="0.3">
      <c r="A270" t="s">
        <v>982</v>
      </c>
      <c r="B270" t="s">
        <v>298</v>
      </c>
      <c r="C270" t="str">
        <f>IF(SessionMovements[[#This Row],[MovementID]]="","",
   _xlfn.XLOOKUP(SessionMovements[[#This Row],[MovementID]],MovementLibrary[MovementID],MovementLibrary[Name],"")
)</f>
        <v>Back Squat</v>
      </c>
      <c r="D270" s="5" t="str">
        <f>IF(SessionMovements[[#This Row],[MovementID]]="","",
   _xlfn.XLOOKUP(SessionMovements[[#This Row],[MovementID]], MovementLibrary[MovementID], MovementLibrary[Modality], "")
)</f>
        <v>Barbell</v>
      </c>
      <c r="E270" s="5" t="str">
        <f>IF(SessionMovements[[#This Row],[MovementID]]="","",
   _xlfn.XLOOKUP(SessionMovements[[#This Row],[MovementID]], MovementLibrary[MovementID], MovementLibrary[Unit], "")
)</f>
        <v>kg</v>
      </c>
      <c r="F2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0">
        <v>4</v>
      </c>
      <c r="H270">
        <v>5</v>
      </c>
      <c r="L270" s="5" t="str">
        <f>IF(COUNTIF(Sessions[SessionID],SessionMovements[[#This Row],[SessionID]])=0,"❌ Missing","✔ OK")</f>
        <v>✔ OK</v>
      </c>
    </row>
    <row r="271" spans="1:12" x14ac:dyDescent="0.3">
      <c r="A271" t="s">
        <v>982</v>
      </c>
      <c r="B271" t="s">
        <v>434</v>
      </c>
      <c r="C271" t="str">
        <f>IF(SessionMovements[[#This Row],[MovementID]]="","",
   _xlfn.XLOOKUP(SessionMovements[[#This Row],[MovementID]],MovementLibrary[MovementID],MovementLibrary[Name],"")
)</f>
        <v>Back Extension</v>
      </c>
      <c r="D271" s="5" t="str">
        <f>IF(SessionMovements[[#This Row],[MovementID]]="","",
   _xlfn.XLOOKUP(SessionMovements[[#This Row],[MovementID]], MovementLibrary[MovementID], MovementLibrary[Modality], "")
)</f>
        <v>Gymnastics</v>
      </c>
      <c r="E271" s="5" t="str">
        <f>IF(SessionMovements[[#This Row],[MovementID]]="","",
   _xlfn.XLOOKUP(SessionMovements[[#This Row],[MovementID]], MovementLibrary[MovementID], MovementLibrary[Unit], "")
)</f>
        <v>reps</v>
      </c>
      <c r="F2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1">
        <v>4</v>
      </c>
      <c r="H271">
        <v>8</v>
      </c>
      <c r="L271" s="5" t="str">
        <f>IF(COUNTIF(Sessions[SessionID],SessionMovements[[#This Row],[SessionID]])=0,"❌ Missing","✔ OK")</f>
        <v>✔ OK</v>
      </c>
    </row>
    <row r="272" spans="1:12" x14ac:dyDescent="0.3">
      <c r="A272" t="s">
        <v>982</v>
      </c>
      <c r="B272" t="s">
        <v>428</v>
      </c>
      <c r="C272" t="str">
        <f>IF(SessionMovements[[#This Row],[MovementID]]="","",
   _xlfn.XLOOKUP(SessionMovements[[#This Row],[MovementID]],MovementLibrary[MovementID],MovementLibrary[Name],"")
)</f>
        <v>AbMat Sit-Up</v>
      </c>
      <c r="D272" s="5" t="str">
        <f>IF(SessionMovements[[#This Row],[MovementID]]="","",
   _xlfn.XLOOKUP(SessionMovements[[#This Row],[MovementID]], MovementLibrary[MovementID], MovementLibrary[Modality], "")
)</f>
        <v>Gymnastics</v>
      </c>
      <c r="E272" s="5" t="str">
        <f>IF(SessionMovements[[#This Row],[MovementID]]="","",
   _xlfn.XLOOKUP(SessionMovements[[#This Row],[MovementID]], MovementLibrary[MovementID], MovementLibrary[Unit], "")
)</f>
        <v>reps</v>
      </c>
      <c r="F2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72" t="s">
        <v>977</v>
      </c>
      <c r="L272" s="5" t="str">
        <f>IF(COUNTIF(Sessions[SessionID],SessionMovements[[#This Row],[SessionID]])=0,"❌ Missing","✔ OK")</f>
        <v>✔ OK</v>
      </c>
    </row>
    <row r="273" spans="1:12" x14ac:dyDescent="0.3">
      <c r="A273" t="s">
        <v>983</v>
      </c>
      <c r="B273" t="s">
        <v>275</v>
      </c>
      <c r="C273" t="str">
        <f>IF(SessionMovements[[#This Row],[MovementID]]="","",
   _xlfn.XLOOKUP(SessionMovements[[#This Row],[MovementID]],MovementLibrary[MovementID],MovementLibrary[Name],"")
)</f>
        <v>Power Snatch</v>
      </c>
      <c r="D273" s="5" t="str">
        <f>IF(SessionMovements[[#This Row],[MovementID]]="","",
   _xlfn.XLOOKUP(SessionMovements[[#This Row],[MovementID]], MovementLibrary[MovementID], MovementLibrary[Modality], "")
)</f>
        <v>Barbell</v>
      </c>
      <c r="E273" s="5" t="str">
        <f>IF(SessionMovements[[#This Row],[MovementID]]="","",
   _xlfn.XLOOKUP(SessionMovements[[#This Row],[MovementID]], MovementLibrary[MovementID], MovementLibrary[Unit], "")
)</f>
        <v>kg</v>
      </c>
      <c r="F2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3">
        <v>5</v>
      </c>
      <c r="H273">
        <v>1</v>
      </c>
      <c r="L273" s="5" t="str">
        <f>IF(COUNTIF(Sessions[SessionID],SessionMovements[[#This Row],[SessionID]])=0,"❌ Missing","✔ OK")</f>
        <v>✔ OK</v>
      </c>
    </row>
    <row r="274" spans="1:12" x14ac:dyDescent="0.3">
      <c r="A274" t="s">
        <v>983</v>
      </c>
      <c r="B274" t="s">
        <v>276</v>
      </c>
      <c r="C274" t="str">
        <f>IF(SessionMovements[[#This Row],[MovementID]]="","",
   _xlfn.XLOOKUP(SessionMovements[[#This Row],[MovementID]],MovementLibrary[MovementID],MovementLibrary[Name],"")
)</f>
        <v>Hang Snatch</v>
      </c>
      <c r="D274" s="5" t="str">
        <f>IF(SessionMovements[[#This Row],[MovementID]]="","",
   _xlfn.XLOOKUP(SessionMovements[[#This Row],[MovementID]], MovementLibrary[MovementID], MovementLibrary[Modality], "")
)</f>
        <v>Barbell</v>
      </c>
      <c r="E274" s="5" t="str">
        <f>IF(SessionMovements[[#This Row],[MovementID]]="","",
   _xlfn.XLOOKUP(SessionMovements[[#This Row],[MovementID]], MovementLibrary[MovementID], MovementLibrary[Unit], "")
)</f>
        <v>kg</v>
      </c>
      <c r="F2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4">
        <v>5</v>
      </c>
      <c r="H274">
        <v>1</v>
      </c>
      <c r="K274" t="s">
        <v>927</v>
      </c>
      <c r="L274" s="5" t="str">
        <f>IF(COUNTIF(Sessions[SessionID],SessionMovements[[#This Row],[SessionID]])=0,"❌ Missing","✔ OK")</f>
        <v>✔ OK</v>
      </c>
    </row>
    <row r="275" spans="1:12" x14ac:dyDescent="0.3">
      <c r="A275" t="s">
        <v>983</v>
      </c>
      <c r="B275" t="s">
        <v>651</v>
      </c>
      <c r="C275" t="str">
        <f>IF(SessionMovements[[#This Row],[MovementID]]="","",
   _xlfn.XLOOKUP(SessionMovements[[#This Row],[MovementID]],MovementLibrary[MovementID],MovementLibrary[Name],"")
)</f>
        <v>Segmented Snatch Deadlift (1" + knee)</v>
      </c>
      <c r="D275" s="5" t="str">
        <f>IF(SessionMovements[[#This Row],[MovementID]]="","",
   _xlfn.XLOOKUP(SessionMovements[[#This Row],[MovementID]], MovementLibrary[MovementID], MovementLibrary[Modality], "")
)</f>
        <v>Barbell</v>
      </c>
      <c r="E275" s="5" t="str">
        <f>IF(SessionMovements[[#This Row],[MovementID]]="","",
   _xlfn.XLOOKUP(SessionMovements[[#This Row],[MovementID]], MovementLibrary[MovementID], MovementLibrary[Unit], "")
)</f>
        <v>kg</v>
      </c>
      <c r="F2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5">
        <v>3</v>
      </c>
      <c r="H275">
        <v>3</v>
      </c>
      <c r="K275" t="s">
        <v>984</v>
      </c>
      <c r="L275" s="5" t="str">
        <f>IF(COUNTIF(Sessions[SessionID],SessionMovements[[#This Row],[SessionID]])=0,"❌ Missing","✔ OK")</f>
        <v>✔ OK</v>
      </c>
    </row>
    <row r="276" spans="1:12" x14ac:dyDescent="0.3">
      <c r="A276" t="s">
        <v>983</v>
      </c>
      <c r="B276" t="s">
        <v>298</v>
      </c>
      <c r="C276" t="str">
        <f>IF(SessionMovements[[#This Row],[MovementID]]="","",
   _xlfn.XLOOKUP(SessionMovements[[#This Row],[MovementID]],MovementLibrary[MovementID],MovementLibrary[Name],"")
)</f>
        <v>Back Squat</v>
      </c>
      <c r="D276" s="5" t="str">
        <f>IF(SessionMovements[[#This Row],[MovementID]]="","",
   _xlfn.XLOOKUP(SessionMovements[[#This Row],[MovementID]], MovementLibrary[MovementID], MovementLibrary[Modality], "")
)</f>
        <v>Barbell</v>
      </c>
      <c r="E276" s="5" t="str">
        <f>IF(SessionMovements[[#This Row],[MovementID]]="","",
   _xlfn.XLOOKUP(SessionMovements[[#This Row],[MovementID]], MovementLibrary[MovementID], MovementLibrary[Unit], "")
)</f>
        <v>kg</v>
      </c>
      <c r="F2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6">
        <v>4</v>
      </c>
      <c r="H276">
        <v>5</v>
      </c>
      <c r="L276" s="5" t="str">
        <f>IF(COUNTIF(Sessions[SessionID],SessionMovements[[#This Row],[SessionID]])=0,"❌ Missing","✔ OK")</f>
        <v>✔ OK</v>
      </c>
    </row>
    <row r="277" spans="1:12" x14ac:dyDescent="0.3">
      <c r="A277" t="s">
        <v>983</v>
      </c>
      <c r="B277" t="s">
        <v>434</v>
      </c>
      <c r="C277" t="str">
        <f>IF(SessionMovements[[#This Row],[MovementID]]="","",
   _xlfn.XLOOKUP(SessionMovements[[#This Row],[MovementID]],MovementLibrary[MovementID],MovementLibrary[Name],"")
)</f>
        <v>Back Extension</v>
      </c>
      <c r="D277" s="5" t="str">
        <f>IF(SessionMovements[[#This Row],[MovementID]]="","",
   _xlfn.XLOOKUP(SessionMovements[[#This Row],[MovementID]], MovementLibrary[MovementID], MovementLibrary[Modality], "")
)</f>
        <v>Gymnastics</v>
      </c>
      <c r="E277" s="5" t="str">
        <f>IF(SessionMovements[[#This Row],[MovementID]]="","",
   _xlfn.XLOOKUP(SessionMovements[[#This Row],[MovementID]], MovementLibrary[MovementID], MovementLibrary[Unit], "")
)</f>
        <v>reps</v>
      </c>
      <c r="F2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7">
        <v>4</v>
      </c>
      <c r="H277">
        <v>8</v>
      </c>
      <c r="L277" s="5" t="str">
        <f>IF(COUNTIF(Sessions[SessionID],SessionMovements[[#This Row],[SessionID]])=0,"❌ Missing","✔ OK")</f>
        <v>✔ OK</v>
      </c>
    </row>
    <row r="278" spans="1:12" x14ac:dyDescent="0.3">
      <c r="A278" t="s">
        <v>983</v>
      </c>
      <c r="B278" t="s">
        <v>428</v>
      </c>
      <c r="C278" t="str">
        <f>IF(SessionMovements[[#This Row],[MovementID]]="","",
   _xlfn.XLOOKUP(SessionMovements[[#This Row],[MovementID]],MovementLibrary[MovementID],MovementLibrary[Name],"")
)</f>
        <v>AbMat Sit-Up</v>
      </c>
      <c r="D278" s="5" t="str">
        <f>IF(SessionMovements[[#This Row],[MovementID]]="","",
   _xlfn.XLOOKUP(SessionMovements[[#This Row],[MovementID]], MovementLibrary[MovementID], MovementLibrary[Modality], "")
)</f>
        <v>Gymnastics</v>
      </c>
      <c r="E278" s="5" t="str">
        <f>IF(SessionMovements[[#This Row],[MovementID]]="","",
   _xlfn.XLOOKUP(SessionMovements[[#This Row],[MovementID]], MovementLibrary[MovementID], MovementLibrary[Unit], "")
)</f>
        <v>reps</v>
      </c>
      <c r="F2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78" t="s">
        <v>977</v>
      </c>
      <c r="L278" s="5" t="str">
        <f>IF(COUNTIF(Sessions[SessionID],SessionMovements[[#This Row],[SessionID]])=0,"❌ Missing","✔ OK")</f>
        <v>✔ OK</v>
      </c>
    </row>
    <row r="279" spans="1:12" x14ac:dyDescent="0.3">
      <c r="A279" t="s">
        <v>985</v>
      </c>
      <c r="B279" t="s">
        <v>275</v>
      </c>
      <c r="C279" t="str">
        <f>IF(SessionMovements[[#This Row],[MovementID]]="","",
   _xlfn.XLOOKUP(SessionMovements[[#This Row],[MovementID]],MovementLibrary[MovementID],MovementLibrary[Name],"")
)</f>
        <v>Power Snatch</v>
      </c>
      <c r="D279" s="5" t="str">
        <f>IF(SessionMovements[[#This Row],[MovementID]]="","",
   _xlfn.XLOOKUP(SessionMovements[[#This Row],[MovementID]], MovementLibrary[MovementID], MovementLibrary[Modality], "")
)</f>
        <v>Barbell</v>
      </c>
      <c r="E279" s="5" t="str">
        <f>IF(SessionMovements[[#This Row],[MovementID]]="","",
   _xlfn.XLOOKUP(SessionMovements[[#This Row],[MovementID]], MovementLibrary[MovementID], MovementLibrary[Unit], "")
)</f>
        <v>kg</v>
      </c>
      <c r="F2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79">
        <v>5</v>
      </c>
      <c r="H279">
        <v>2</v>
      </c>
      <c r="L279" s="5" t="str">
        <f>IF(COUNTIF(Sessions[SessionID],SessionMovements[[#This Row],[SessionID]])=0,"❌ Missing","✔ OK")</f>
        <v>✔ OK</v>
      </c>
    </row>
    <row r="280" spans="1:12" x14ac:dyDescent="0.3">
      <c r="A280" t="s">
        <v>985</v>
      </c>
      <c r="B280" t="s">
        <v>668</v>
      </c>
      <c r="C280" t="str">
        <f>IF(SessionMovements[[#This Row],[MovementID]]="","",
   _xlfn.XLOOKUP(SessionMovements[[#This Row],[MovementID]],MovementLibrary[MovementID],MovementLibrary[Name],"")
)</f>
        <v>Power Snatch + OHS (Complex)</v>
      </c>
      <c r="D280" s="5" t="str">
        <f>IF(SessionMovements[[#This Row],[MovementID]]="","",
   _xlfn.XLOOKUP(SessionMovements[[#This Row],[MovementID]], MovementLibrary[MovementID], MovementLibrary[Modality], "")
)</f>
        <v>Barbell</v>
      </c>
      <c r="E280" s="5" t="str">
        <f>IF(SessionMovements[[#This Row],[MovementID]]="","",
   _xlfn.XLOOKUP(SessionMovements[[#This Row],[MovementID]], MovementLibrary[MovementID], MovementLibrary[Unit], "")
)</f>
        <v>kg</v>
      </c>
      <c r="F2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0">
        <v>3</v>
      </c>
      <c r="H280" t="s">
        <v>981</v>
      </c>
      <c r="L280" s="5" t="str">
        <f>IF(COUNTIF(Sessions[SessionID],SessionMovements[[#This Row],[SessionID]])=0,"❌ Missing","✔ OK")</f>
        <v>✔ OK</v>
      </c>
    </row>
    <row r="281" spans="1:12" x14ac:dyDescent="0.3">
      <c r="A281" t="s">
        <v>985</v>
      </c>
      <c r="B281" t="s">
        <v>296</v>
      </c>
      <c r="C281" t="str">
        <f>IF(SessionMovements[[#This Row],[MovementID]]="","",
   _xlfn.XLOOKUP(SessionMovements[[#This Row],[MovementID]],MovementLibrary[MovementID],MovementLibrary[Name],"")
)</f>
        <v>Front Squat</v>
      </c>
      <c r="D281" s="5" t="str">
        <f>IF(SessionMovements[[#This Row],[MovementID]]="","",
   _xlfn.XLOOKUP(SessionMovements[[#This Row],[MovementID]], MovementLibrary[MovementID], MovementLibrary[Modality], "")
)</f>
        <v>Barbell</v>
      </c>
      <c r="E281" s="5" t="str">
        <f>IF(SessionMovements[[#This Row],[MovementID]]="","",
   _xlfn.XLOOKUP(SessionMovements[[#This Row],[MovementID]], MovementLibrary[MovementID], MovementLibrary[Unit], "")
)</f>
        <v>kg</v>
      </c>
      <c r="F2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1">
        <v>3</v>
      </c>
      <c r="H281">
        <v>5</v>
      </c>
      <c r="L281" s="5" t="str">
        <f>IF(COUNTIF(Sessions[SessionID],SessionMovements[[#This Row],[SessionID]])=0,"❌ Missing","✔ OK")</f>
        <v>✔ OK</v>
      </c>
    </row>
    <row r="282" spans="1:12" x14ac:dyDescent="0.3">
      <c r="A282" t="s">
        <v>985</v>
      </c>
      <c r="B282" t="s">
        <v>434</v>
      </c>
      <c r="C282" t="str">
        <f>IF(SessionMovements[[#This Row],[MovementID]]="","",
   _xlfn.XLOOKUP(SessionMovements[[#This Row],[MovementID]],MovementLibrary[MovementID],MovementLibrary[Name],"")
)</f>
        <v>Back Extension</v>
      </c>
      <c r="D282" s="5" t="str">
        <f>IF(SessionMovements[[#This Row],[MovementID]]="","",
   _xlfn.XLOOKUP(SessionMovements[[#This Row],[MovementID]], MovementLibrary[MovementID], MovementLibrary[Modality], "")
)</f>
        <v>Gymnastics</v>
      </c>
      <c r="E282" s="5" t="str">
        <f>IF(SessionMovements[[#This Row],[MovementID]]="","",
   _xlfn.XLOOKUP(SessionMovements[[#This Row],[MovementID]], MovementLibrary[MovementID], MovementLibrary[Unit], "")
)</f>
        <v>reps</v>
      </c>
      <c r="F2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2">
        <v>4</v>
      </c>
      <c r="H282">
        <v>8</v>
      </c>
      <c r="L282" s="5" t="str">
        <f>IF(COUNTIF(Sessions[SessionID],SessionMovements[[#This Row],[SessionID]])=0,"❌ Missing","✔ OK")</f>
        <v>✔ OK</v>
      </c>
    </row>
    <row r="283" spans="1:12" x14ac:dyDescent="0.3">
      <c r="A283" t="s">
        <v>985</v>
      </c>
      <c r="B283" t="s">
        <v>428</v>
      </c>
      <c r="C283" t="str">
        <f>IF(SessionMovements[[#This Row],[MovementID]]="","",
   _xlfn.XLOOKUP(SessionMovements[[#This Row],[MovementID]],MovementLibrary[MovementID],MovementLibrary[Name],"")
)</f>
        <v>AbMat Sit-Up</v>
      </c>
      <c r="D283" s="5" t="str">
        <f>IF(SessionMovements[[#This Row],[MovementID]]="","",
   _xlfn.XLOOKUP(SessionMovements[[#This Row],[MovementID]], MovementLibrary[MovementID], MovementLibrary[Modality], "")
)</f>
        <v>Gymnastics</v>
      </c>
      <c r="E283" s="5" t="str">
        <f>IF(SessionMovements[[#This Row],[MovementID]]="","",
   _xlfn.XLOOKUP(SessionMovements[[#This Row],[MovementID]], MovementLibrary[MovementID], MovementLibrary[Unit], "")
)</f>
        <v>reps</v>
      </c>
      <c r="F2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83" t="s">
        <v>977</v>
      </c>
      <c r="L283" s="5" t="str">
        <f>IF(COUNTIF(Sessions[SessionID],SessionMovements[[#This Row],[SessionID]])=0,"❌ Missing","✔ OK")</f>
        <v>✔ OK</v>
      </c>
    </row>
    <row r="284" spans="1:12" x14ac:dyDescent="0.3">
      <c r="A284" t="s">
        <v>986</v>
      </c>
      <c r="B284" t="s">
        <v>259</v>
      </c>
      <c r="C284" t="str">
        <f>IF(SessionMovements[[#This Row],[MovementID]]="","",
   _xlfn.XLOOKUP(SessionMovements[[#This Row],[MovementID]],MovementLibrary[MovementID],MovementLibrary[Name],"")
)</f>
        <v>Power Clean</v>
      </c>
      <c r="D284" s="5" t="str">
        <f>IF(SessionMovements[[#This Row],[MovementID]]="","",
   _xlfn.XLOOKUP(SessionMovements[[#This Row],[MovementID]], MovementLibrary[MovementID], MovementLibrary[Modality], "")
)</f>
        <v>Barbell</v>
      </c>
      <c r="E284" s="5" t="str">
        <f>IF(SessionMovements[[#This Row],[MovementID]]="","",
   _xlfn.XLOOKUP(SessionMovements[[#This Row],[MovementID]], MovementLibrary[MovementID], MovementLibrary[Unit], "")
)</f>
        <v>kg</v>
      </c>
      <c r="F2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4">
        <v>5</v>
      </c>
      <c r="H284">
        <v>1</v>
      </c>
      <c r="L284" s="5" t="str">
        <f>IF(COUNTIF(Sessions[SessionID],SessionMovements[[#This Row],[SessionID]])=0,"❌ Missing","✔ OK")</f>
        <v>✔ OK</v>
      </c>
    </row>
    <row r="285" spans="1:12" x14ac:dyDescent="0.3">
      <c r="A285" t="s">
        <v>986</v>
      </c>
      <c r="B285" t="s">
        <v>283</v>
      </c>
      <c r="C285" t="str">
        <f>IF(SessionMovements[[#This Row],[MovementID]]="","",
   _xlfn.XLOOKUP(SessionMovements[[#This Row],[MovementID]],MovementLibrary[MovementID],MovementLibrary[Name],"")
)</f>
        <v>Hang Clean</v>
      </c>
      <c r="D285" s="5" t="str">
        <f>IF(SessionMovements[[#This Row],[MovementID]]="","",
   _xlfn.XLOOKUP(SessionMovements[[#This Row],[MovementID]], MovementLibrary[MovementID], MovementLibrary[Modality], "")
)</f>
        <v>Barbell</v>
      </c>
      <c r="E285" s="5" t="str">
        <f>IF(SessionMovements[[#This Row],[MovementID]]="","",
   _xlfn.XLOOKUP(SessionMovements[[#This Row],[MovementID]], MovementLibrary[MovementID], MovementLibrary[Unit], "")
)</f>
        <v>kg</v>
      </c>
      <c r="F2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5">
        <v>5</v>
      </c>
      <c r="H285">
        <v>1</v>
      </c>
      <c r="K285" t="s">
        <v>927</v>
      </c>
      <c r="L285" s="5" t="str">
        <f>IF(COUNTIF(Sessions[SessionID],SessionMovements[[#This Row],[SessionID]])=0,"❌ Missing","✔ OK")</f>
        <v>✔ OK</v>
      </c>
    </row>
    <row r="286" spans="1:12" x14ac:dyDescent="0.3">
      <c r="A286" t="s">
        <v>986</v>
      </c>
      <c r="B286" t="s">
        <v>656</v>
      </c>
      <c r="C286" t="str">
        <f>IF(SessionMovements[[#This Row],[MovementID]]="","",
   _xlfn.XLOOKUP(SessionMovements[[#This Row],[MovementID]],MovementLibrary[MovementID],MovementLibrary[Name],"")
)</f>
        <v>Clean High Pull</v>
      </c>
      <c r="D286" s="5" t="str">
        <f>IF(SessionMovements[[#This Row],[MovementID]]="","",
   _xlfn.XLOOKUP(SessionMovements[[#This Row],[MovementID]], MovementLibrary[MovementID], MovementLibrary[Modality], "")
)</f>
        <v>Barbell</v>
      </c>
      <c r="E286" s="5" t="str">
        <f>IF(SessionMovements[[#This Row],[MovementID]]="","",
   _xlfn.XLOOKUP(SessionMovements[[#This Row],[MovementID]], MovementLibrary[MovementID], MovementLibrary[Unit], "")
)</f>
        <v>kg</v>
      </c>
      <c r="F2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6">
        <v>3</v>
      </c>
      <c r="H286">
        <v>3</v>
      </c>
      <c r="K286" t="s">
        <v>987</v>
      </c>
      <c r="L286" s="5" t="str">
        <f>IF(COUNTIF(Sessions[SessionID],SessionMovements[[#This Row],[SessionID]])=0,"❌ Missing","✔ OK")</f>
        <v>✔ OK</v>
      </c>
    </row>
    <row r="287" spans="1:12" x14ac:dyDescent="0.3">
      <c r="A287" t="s">
        <v>986</v>
      </c>
      <c r="B287" t="s">
        <v>292</v>
      </c>
      <c r="C287" t="str">
        <f>IF(SessionMovements[[#This Row],[MovementID]]="","",
   _xlfn.XLOOKUP(SessionMovements[[#This Row],[MovementID]],MovementLibrary[MovementID],MovementLibrary[Name],"")
)</f>
        <v>Push Press</v>
      </c>
      <c r="D287" s="5" t="str">
        <f>IF(SessionMovements[[#This Row],[MovementID]]="","",
   _xlfn.XLOOKUP(SessionMovements[[#This Row],[MovementID]], MovementLibrary[MovementID], MovementLibrary[Modality], "")
)</f>
        <v>Barbell</v>
      </c>
      <c r="E287" s="5" t="str">
        <f>IF(SessionMovements[[#This Row],[MovementID]]="","",
   _xlfn.XLOOKUP(SessionMovements[[#This Row],[MovementID]], MovementLibrary[MovementID], MovementLibrary[Unit], "")
)</f>
        <v>kg</v>
      </c>
      <c r="F2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87">
        <v>3</v>
      </c>
      <c r="H287">
        <v>5</v>
      </c>
      <c r="L287" s="5" t="str">
        <f>IF(COUNTIF(Sessions[SessionID],SessionMovements[[#This Row],[SessionID]])=0,"❌ Missing","✔ OK")</f>
        <v>✔ OK</v>
      </c>
    </row>
    <row r="288" spans="1:12" x14ac:dyDescent="0.3">
      <c r="A288" t="s">
        <v>986</v>
      </c>
      <c r="B288" t="s">
        <v>434</v>
      </c>
      <c r="C288" t="str">
        <f>IF(SessionMovements[[#This Row],[MovementID]]="","",
   _xlfn.XLOOKUP(SessionMovements[[#This Row],[MovementID]],MovementLibrary[MovementID],MovementLibrary[Name],"")
)</f>
        <v>Back Extension</v>
      </c>
      <c r="D288" s="5" t="str">
        <f>IF(SessionMovements[[#This Row],[MovementID]]="","",
   _xlfn.XLOOKUP(SessionMovements[[#This Row],[MovementID]], MovementLibrary[MovementID], MovementLibrary[Modality], "")
)</f>
        <v>Gymnastics</v>
      </c>
      <c r="E288" s="5" t="str">
        <f>IF(SessionMovements[[#This Row],[MovementID]]="","",
   _xlfn.XLOOKUP(SessionMovements[[#This Row],[MovementID]], MovementLibrary[MovementID], MovementLibrary[Unit], "")
)</f>
        <v>reps</v>
      </c>
      <c r="F2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L288" s="5" t="str">
        <f>IF(COUNTIF(Sessions[SessionID],SessionMovements[[#This Row],[SessionID]])=0,"❌ Missing","✔ OK")</f>
        <v>✔ OK</v>
      </c>
    </row>
    <row r="289" spans="1:12" x14ac:dyDescent="0.3">
      <c r="A289" t="s">
        <v>986</v>
      </c>
      <c r="B289" t="s">
        <v>428</v>
      </c>
      <c r="C289" t="str">
        <f>IF(SessionMovements[[#This Row],[MovementID]]="","",
   _xlfn.XLOOKUP(SessionMovements[[#This Row],[MovementID]],MovementLibrary[MovementID],MovementLibrary[Name],"")
)</f>
        <v>AbMat Sit-Up</v>
      </c>
      <c r="D289" s="5" t="str">
        <f>IF(SessionMovements[[#This Row],[MovementID]]="","",
   _xlfn.XLOOKUP(SessionMovements[[#This Row],[MovementID]], MovementLibrary[MovementID], MovementLibrary[Modality], "")
)</f>
        <v>Gymnastics</v>
      </c>
      <c r="E289" s="5" t="str">
        <f>IF(SessionMovements[[#This Row],[MovementID]]="","",
   _xlfn.XLOOKUP(SessionMovements[[#This Row],[MovementID]], MovementLibrary[MovementID], MovementLibrary[Unit], "")
)</f>
        <v>reps</v>
      </c>
      <c r="F2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89" t="s">
        <v>977</v>
      </c>
      <c r="L289" s="5" t="str">
        <f>IF(COUNTIF(Sessions[SessionID],SessionMovements[[#This Row],[SessionID]])=0,"❌ Missing","✔ OK")</f>
        <v>✔ OK</v>
      </c>
    </row>
    <row r="290" spans="1:12" x14ac:dyDescent="0.3">
      <c r="A290" t="s">
        <v>988</v>
      </c>
      <c r="B290" t="s">
        <v>259</v>
      </c>
      <c r="C290" t="str">
        <f>IF(SessionMovements[[#This Row],[MovementID]]="","",
   _xlfn.XLOOKUP(SessionMovements[[#This Row],[MovementID]],MovementLibrary[MovementID],MovementLibrary[Name],"")
)</f>
        <v>Power Clean</v>
      </c>
      <c r="D290" s="5" t="str">
        <f>IF(SessionMovements[[#This Row],[MovementID]]="","",
   _xlfn.XLOOKUP(SessionMovements[[#This Row],[MovementID]], MovementLibrary[MovementID], MovementLibrary[Modality], "")
)</f>
        <v>Barbell</v>
      </c>
      <c r="E290" s="5" t="str">
        <f>IF(SessionMovements[[#This Row],[MovementID]]="","",
   _xlfn.XLOOKUP(SessionMovements[[#This Row],[MovementID]], MovementLibrary[MovementID], MovementLibrary[Unit], "")
)</f>
        <v>kg</v>
      </c>
      <c r="F2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0">
        <v>5</v>
      </c>
      <c r="H290">
        <v>1</v>
      </c>
      <c r="L290" s="5" t="str">
        <f>IF(COUNTIF(Sessions[SessionID],SessionMovements[[#This Row],[SessionID]])=0,"❌ Missing","✔ OK")</f>
        <v>✔ OK</v>
      </c>
    </row>
    <row r="291" spans="1:12" x14ac:dyDescent="0.3">
      <c r="A291" t="s">
        <v>988</v>
      </c>
      <c r="B291" t="s">
        <v>290</v>
      </c>
      <c r="C291" t="str">
        <f>IF(SessionMovements[[#This Row],[MovementID]]="","",
   _xlfn.XLOOKUP(SessionMovements[[#This Row],[MovementID]],MovementLibrary[MovementID],MovementLibrary[Name],"")
)</f>
        <v>Push Jerk</v>
      </c>
      <c r="D291" s="5" t="str">
        <f>IF(SessionMovements[[#This Row],[MovementID]]="","",
   _xlfn.XLOOKUP(SessionMovements[[#This Row],[MovementID]], MovementLibrary[MovementID], MovementLibrary[Modality], "")
)</f>
        <v>Barbell</v>
      </c>
      <c r="E291" s="5" t="str">
        <f>IF(SessionMovements[[#This Row],[MovementID]]="","",
   _xlfn.XLOOKUP(SessionMovements[[#This Row],[MovementID]], MovementLibrary[MovementID], MovementLibrary[Unit], "")
)</f>
        <v>kg</v>
      </c>
      <c r="F2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1">
        <v>5</v>
      </c>
      <c r="H291">
        <v>3</v>
      </c>
      <c r="L291" s="5" t="str">
        <f>IF(COUNTIF(Sessions[SessionID],SessionMovements[[#This Row],[SessionID]])=0,"❌ Missing","✔ OK")</f>
        <v>✔ OK</v>
      </c>
    </row>
    <row r="292" spans="1:12" x14ac:dyDescent="0.3">
      <c r="A292" t="s">
        <v>988</v>
      </c>
      <c r="B292" t="s">
        <v>260</v>
      </c>
      <c r="C292" t="str">
        <f>IF(SessionMovements[[#This Row],[MovementID]]="","",
   _xlfn.XLOOKUP(SessionMovements[[#This Row],[MovementID]],MovementLibrary[MovementID],MovementLibrary[Name],"")
)</f>
        <v>Snatch</v>
      </c>
      <c r="D292" s="5" t="str">
        <f>IF(SessionMovements[[#This Row],[MovementID]]="","",
   _xlfn.XLOOKUP(SessionMovements[[#This Row],[MovementID]], MovementLibrary[MovementID], MovementLibrary[Modality], "")
)</f>
        <v>Barbell</v>
      </c>
      <c r="E292" s="5" t="str">
        <f>IF(SessionMovements[[#This Row],[MovementID]]="","",
   _xlfn.XLOOKUP(SessionMovements[[#This Row],[MovementID]], MovementLibrary[MovementID], MovementLibrary[Unit], "")
)</f>
        <v>kg</v>
      </c>
      <c r="F2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2">
        <v>3</v>
      </c>
      <c r="H292">
        <v>4</v>
      </c>
      <c r="L292" s="5" t="str">
        <f>IF(COUNTIF(Sessions[SessionID],SessionMovements[[#This Row],[SessionID]])=0,"❌ Missing","✔ OK")</f>
        <v>✔ OK</v>
      </c>
    </row>
    <row r="293" spans="1:12" x14ac:dyDescent="0.3">
      <c r="A293" t="s">
        <v>988</v>
      </c>
      <c r="B293" t="s">
        <v>298</v>
      </c>
      <c r="C293" t="str">
        <f>IF(SessionMovements[[#This Row],[MovementID]]="","",
   _xlfn.XLOOKUP(SessionMovements[[#This Row],[MovementID]],MovementLibrary[MovementID],MovementLibrary[Name],"")
)</f>
        <v>Back Squat</v>
      </c>
      <c r="D293" s="5" t="str">
        <f>IF(SessionMovements[[#This Row],[MovementID]]="","",
   _xlfn.XLOOKUP(SessionMovements[[#This Row],[MovementID]], MovementLibrary[MovementID], MovementLibrary[Modality], "")
)</f>
        <v>Barbell</v>
      </c>
      <c r="E293" s="5" t="str">
        <f>IF(SessionMovements[[#This Row],[MovementID]]="","",
   _xlfn.XLOOKUP(SessionMovements[[#This Row],[MovementID]], MovementLibrary[MovementID], MovementLibrary[Unit], "")
)</f>
        <v>kg</v>
      </c>
      <c r="F2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3">
        <v>4</v>
      </c>
      <c r="H293">
        <v>5</v>
      </c>
      <c r="L293" s="5" t="str">
        <f>IF(COUNTIF(Sessions[SessionID],SessionMovements[[#This Row],[SessionID]])=0,"❌ Missing","✔ OK")</f>
        <v>✔ OK</v>
      </c>
    </row>
    <row r="294" spans="1:12" x14ac:dyDescent="0.3">
      <c r="A294" t="s">
        <v>988</v>
      </c>
      <c r="B294" t="s">
        <v>434</v>
      </c>
      <c r="C294" t="str">
        <f>IF(SessionMovements[[#This Row],[MovementID]]="","",
   _xlfn.XLOOKUP(SessionMovements[[#This Row],[MovementID]],MovementLibrary[MovementID],MovementLibrary[Name],"")
)</f>
        <v>Back Extension</v>
      </c>
      <c r="D294" s="5" t="str">
        <f>IF(SessionMovements[[#This Row],[MovementID]]="","",
   _xlfn.XLOOKUP(SessionMovements[[#This Row],[MovementID]], MovementLibrary[MovementID], MovementLibrary[Modality], "")
)</f>
        <v>Gymnastics</v>
      </c>
      <c r="E294" s="5" t="str">
        <f>IF(SessionMovements[[#This Row],[MovementID]]="","",
   _xlfn.XLOOKUP(SessionMovements[[#This Row],[MovementID]], MovementLibrary[MovementID], MovementLibrary[Unit], "")
)</f>
        <v>reps</v>
      </c>
      <c r="F2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4">
        <v>4</v>
      </c>
      <c r="H294">
        <v>8</v>
      </c>
      <c r="L294" s="5" t="str">
        <f>IF(COUNTIF(Sessions[SessionID],SessionMovements[[#This Row],[SessionID]])=0,"❌ Missing","✔ OK")</f>
        <v>✔ OK</v>
      </c>
    </row>
    <row r="295" spans="1:12" x14ac:dyDescent="0.3">
      <c r="A295" t="s">
        <v>988</v>
      </c>
      <c r="B295" t="s">
        <v>428</v>
      </c>
      <c r="C295" t="str">
        <f>IF(SessionMovements[[#This Row],[MovementID]]="","",
   _xlfn.XLOOKUP(SessionMovements[[#This Row],[MovementID]],MovementLibrary[MovementID],MovementLibrary[Name],"")
)</f>
        <v>AbMat Sit-Up</v>
      </c>
      <c r="D295" s="5" t="str">
        <f>IF(SessionMovements[[#This Row],[MovementID]]="","",
   _xlfn.XLOOKUP(SessionMovements[[#This Row],[MovementID]], MovementLibrary[MovementID], MovementLibrary[Modality], "")
)</f>
        <v>Gymnastics</v>
      </c>
      <c r="E295" s="5" t="str">
        <f>IF(SessionMovements[[#This Row],[MovementID]]="","",
   _xlfn.XLOOKUP(SessionMovements[[#This Row],[MovementID]], MovementLibrary[MovementID], MovementLibrary[Unit], "")
)</f>
        <v>reps</v>
      </c>
      <c r="F2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295" t="s">
        <v>977</v>
      </c>
      <c r="L295" s="5" t="str">
        <f>IF(COUNTIF(Sessions[SessionID],SessionMovements[[#This Row],[SessionID]])=0,"❌ Missing","✔ OK")</f>
        <v>✔ OK</v>
      </c>
    </row>
    <row r="296" spans="1:12" x14ac:dyDescent="0.3">
      <c r="A296" t="s">
        <v>989</v>
      </c>
      <c r="B296" t="s">
        <v>260</v>
      </c>
      <c r="C296" t="str">
        <f>IF(SessionMovements[[#This Row],[MovementID]]="","",
   _xlfn.XLOOKUP(SessionMovements[[#This Row],[MovementID]],MovementLibrary[MovementID],MovementLibrary[Name],"")
)</f>
        <v>Snatch</v>
      </c>
      <c r="D296" s="5" t="str">
        <f>IF(SessionMovements[[#This Row],[MovementID]]="","",
   _xlfn.XLOOKUP(SessionMovements[[#This Row],[MovementID]], MovementLibrary[MovementID], MovementLibrary[Modality], "")
)</f>
        <v>Barbell</v>
      </c>
      <c r="E296" s="5" t="str">
        <f>IF(SessionMovements[[#This Row],[MovementID]]="","",
   _xlfn.XLOOKUP(SessionMovements[[#This Row],[MovementID]], MovementLibrary[MovementID], MovementLibrary[Unit], "")
)</f>
        <v>kg</v>
      </c>
      <c r="F2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6">
        <v>5</v>
      </c>
      <c r="H296">
        <v>3</v>
      </c>
      <c r="L296" s="5" t="str">
        <f>IF(COUNTIF(Sessions[SessionID],SessionMovements[[#This Row],[SessionID]])=0,"❌ Missing","✔ OK")</f>
        <v>✔ OK</v>
      </c>
    </row>
    <row r="297" spans="1:12" x14ac:dyDescent="0.3">
      <c r="A297" t="s">
        <v>989</v>
      </c>
      <c r="B297" t="s">
        <v>534</v>
      </c>
      <c r="C297" t="str">
        <f>IF(SessionMovements[[#This Row],[MovementID]]="","",
   _xlfn.XLOOKUP(SessionMovements[[#This Row],[MovementID]],MovementLibrary[MovementID],MovementLibrary[Name],"")
)</f>
        <v>Snatch Pull</v>
      </c>
      <c r="D297" s="5" t="str">
        <f>IF(SessionMovements[[#This Row],[MovementID]]="","",
   _xlfn.XLOOKUP(SessionMovements[[#This Row],[MovementID]], MovementLibrary[MovementID], MovementLibrary[Modality], "")
)</f>
        <v>Barbell</v>
      </c>
      <c r="E297" s="5" t="str">
        <f>IF(SessionMovements[[#This Row],[MovementID]]="","",
   _xlfn.XLOOKUP(SessionMovements[[#This Row],[MovementID]], MovementLibrary[MovementID], MovementLibrary[Unit], "")
)</f>
        <v>kg</v>
      </c>
      <c r="F2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7">
        <v>3</v>
      </c>
      <c r="H297">
        <v>5</v>
      </c>
      <c r="L297" s="5" t="str">
        <f>IF(COUNTIF(Sessions[SessionID],SessionMovements[[#This Row],[SessionID]])=0,"❌ Missing","✔ OK")</f>
        <v>✔ OK</v>
      </c>
    </row>
    <row r="298" spans="1:12" x14ac:dyDescent="0.3">
      <c r="A298" t="s">
        <v>989</v>
      </c>
      <c r="B298" t="s">
        <v>298</v>
      </c>
      <c r="C298" t="str">
        <f>IF(SessionMovements[[#This Row],[MovementID]]="","",
   _xlfn.XLOOKUP(SessionMovements[[#This Row],[MovementID]],MovementLibrary[MovementID],MovementLibrary[Name],"")
)</f>
        <v>Back Squat</v>
      </c>
      <c r="D298" s="5" t="str">
        <f>IF(SessionMovements[[#This Row],[MovementID]]="","",
   _xlfn.XLOOKUP(SessionMovements[[#This Row],[MovementID]], MovementLibrary[MovementID], MovementLibrary[Modality], "")
)</f>
        <v>Barbell</v>
      </c>
      <c r="E298" s="5" t="str">
        <f>IF(SessionMovements[[#This Row],[MovementID]]="","",
   _xlfn.XLOOKUP(SessionMovements[[#This Row],[MovementID]], MovementLibrary[MovementID], MovementLibrary[Unit], "")
)</f>
        <v>kg</v>
      </c>
      <c r="F2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8">
        <v>3</v>
      </c>
      <c r="H298">
        <v>8</v>
      </c>
      <c r="L298" s="5" t="str">
        <f>IF(COUNTIF(Sessions[SessionID],SessionMovements[[#This Row],[SessionID]])=0,"❌ Missing","✔ OK")</f>
        <v>✔ OK</v>
      </c>
    </row>
    <row r="299" spans="1:12" x14ac:dyDescent="0.3">
      <c r="A299" t="s">
        <v>989</v>
      </c>
      <c r="B299" t="s">
        <v>434</v>
      </c>
      <c r="C299" t="str">
        <f>IF(SessionMovements[[#This Row],[MovementID]]="","",
   _xlfn.XLOOKUP(SessionMovements[[#This Row],[MovementID]],MovementLibrary[MovementID],MovementLibrary[Name],"")
)</f>
        <v>Back Extension</v>
      </c>
      <c r="D299" s="5" t="str">
        <f>IF(SessionMovements[[#This Row],[MovementID]]="","",
   _xlfn.XLOOKUP(SessionMovements[[#This Row],[MovementID]], MovementLibrary[MovementID], MovementLibrary[Modality], "")
)</f>
        <v>Gymnastics</v>
      </c>
      <c r="E299" s="5" t="str">
        <f>IF(SessionMovements[[#This Row],[MovementID]]="","",
   _xlfn.XLOOKUP(SessionMovements[[#This Row],[MovementID]], MovementLibrary[MovementID], MovementLibrary[Unit], "")
)</f>
        <v>reps</v>
      </c>
      <c r="F2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299">
        <v>4</v>
      </c>
      <c r="H299">
        <v>8</v>
      </c>
      <c r="L299" s="5" t="str">
        <f>IF(COUNTIF(Sessions[SessionID],SessionMovements[[#This Row],[SessionID]])=0,"❌ Missing","✔ OK")</f>
        <v>✔ OK</v>
      </c>
    </row>
    <row r="300" spans="1:12" x14ac:dyDescent="0.3">
      <c r="A300" t="s">
        <v>989</v>
      </c>
      <c r="B300" t="s">
        <v>428</v>
      </c>
      <c r="C300" t="str">
        <f>IF(SessionMovements[[#This Row],[MovementID]]="","",
   _xlfn.XLOOKUP(SessionMovements[[#This Row],[MovementID]],MovementLibrary[MovementID],MovementLibrary[Name],"")
)</f>
        <v>AbMat Sit-Up</v>
      </c>
      <c r="D300" s="5" t="str">
        <f>IF(SessionMovements[[#This Row],[MovementID]]="","",
   _xlfn.XLOOKUP(SessionMovements[[#This Row],[MovementID]], MovementLibrary[MovementID], MovementLibrary[Modality], "")
)</f>
        <v>Gymnastics</v>
      </c>
      <c r="E300" s="5" t="str">
        <f>IF(SessionMovements[[#This Row],[MovementID]]="","",
   _xlfn.XLOOKUP(SessionMovements[[#This Row],[MovementID]], MovementLibrary[MovementID], MovementLibrary[Unit], "")
)</f>
        <v>reps</v>
      </c>
      <c r="F3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00" t="s">
        <v>977</v>
      </c>
      <c r="L300" s="5" t="str">
        <f>IF(COUNTIF(Sessions[SessionID],SessionMovements[[#This Row],[SessionID]])=0,"❌ Missing","✔ OK")</f>
        <v>✔ OK</v>
      </c>
    </row>
    <row r="301" spans="1:12" x14ac:dyDescent="0.3">
      <c r="A301" t="s">
        <v>990</v>
      </c>
      <c r="B301" t="s">
        <v>261</v>
      </c>
      <c r="C301" t="str">
        <f>IF(SessionMovements[[#This Row],[MovementID]]="","",
   _xlfn.XLOOKUP(SessionMovements[[#This Row],[MovementID]],MovementLibrary[MovementID],MovementLibrary[Name],"")
)</f>
        <v>Clean &amp; Jerk</v>
      </c>
      <c r="D301" s="5" t="str">
        <f>IF(SessionMovements[[#This Row],[MovementID]]="","",
   _xlfn.XLOOKUP(SessionMovements[[#This Row],[MovementID]], MovementLibrary[MovementID], MovementLibrary[Modality], "")
)</f>
        <v>Barbell</v>
      </c>
      <c r="E301" s="5" t="str">
        <f>IF(SessionMovements[[#This Row],[MovementID]]="","",
   _xlfn.XLOOKUP(SessionMovements[[#This Row],[MovementID]], MovementLibrary[MovementID], MovementLibrary[Unit], "")
)</f>
        <v>kg</v>
      </c>
      <c r="F3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1">
        <v>5</v>
      </c>
      <c r="H301" t="s">
        <v>991</v>
      </c>
      <c r="L301" s="5" t="str">
        <f>IF(COUNTIF(Sessions[SessionID],SessionMovements[[#This Row],[SessionID]])=0,"❌ Missing","✔ OK")</f>
        <v>✔ OK</v>
      </c>
    </row>
    <row r="302" spans="1:12" x14ac:dyDescent="0.3">
      <c r="A302" t="s">
        <v>990</v>
      </c>
      <c r="B302" t="s">
        <v>537</v>
      </c>
      <c r="C302" t="str">
        <f>IF(SessionMovements[[#This Row],[MovementID]]="","",
   _xlfn.XLOOKUP(SessionMovements[[#This Row],[MovementID]],MovementLibrary[MovementID],MovementLibrary[Name],"")
)</f>
        <v>Clean Pull</v>
      </c>
      <c r="D302" s="5" t="str">
        <f>IF(SessionMovements[[#This Row],[MovementID]]="","",
   _xlfn.XLOOKUP(SessionMovements[[#This Row],[MovementID]], MovementLibrary[MovementID], MovementLibrary[Modality], "")
)</f>
        <v>Barbell</v>
      </c>
      <c r="E302" s="5" t="str">
        <f>IF(SessionMovements[[#This Row],[MovementID]]="","",
   _xlfn.XLOOKUP(SessionMovements[[#This Row],[MovementID]], MovementLibrary[MovementID], MovementLibrary[Unit], "")
)</f>
        <v>kg</v>
      </c>
      <c r="F3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2">
        <v>3</v>
      </c>
      <c r="H302">
        <v>5</v>
      </c>
      <c r="L302" s="5" t="str">
        <f>IF(COUNTIF(Sessions[SessionID],SessionMovements[[#This Row],[SessionID]])=0,"❌ Missing","✔ OK")</f>
        <v>✔ OK</v>
      </c>
    </row>
    <row r="303" spans="1:12" x14ac:dyDescent="0.3">
      <c r="A303" t="s">
        <v>990</v>
      </c>
      <c r="B303" t="s">
        <v>292</v>
      </c>
      <c r="C303" t="str">
        <f>IF(SessionMovements[[#This Row],[MovementID]]="","",
   _xlfn.XLOOKUP(SessionMovements[[#This Row],[MovementID]],MovementLibrary[MovementID],MovementLibrary[Name],"")
)</f>
        <v>Push Press</v>
      </c>
      <c r="D303" s="5" t="str">
        <f>IF(SessionMovements[[#This Row],[MovementID]]="","",
   _xlfn.XLOOKUP(SessionMovements[[#This Row],[MovementID]], MovementLibrary[MovementID], MovementLibrary[Modality], "")
)</f>
        <v>Barbell</v>
      </c>
      <c r="E303" s="5" t="str">
        <f>IF(SessionMovements[[#This Row],[MovementID]]="","",
   _xlfn.XLOOKUP(SessionMovements[[#This Row],[MovementID]], MovementLibrary[MovementID], MovementLibrary[Unit], "")
)</f>
        <v>kg</v>
      </c>
      <c r="F3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3">
        <v>3</v>
      </c>
      <c r="H303">
        <v>5</v>
      </c>
      <c r="L303" s="5" t="str">
        <f>IF(COUNTIF(Sessions[SessionID],SessionMovements[[#This Row],[SessionID]])=0,"❌ Missing","✔ OK")</f>
        <v>✔ OK</v>
      </c>
    </row>
    <row r="304" spans="1:12" x14ac:dyDescent="0.3">
      <c r="A304" t="s">
        <v>990</v>
      </c>
      <c r="B304" t="s">
        <v>434</v>
      </c>
      <c r="C304" t="str">
        <f>IF(SessionMovements[[#This Row],[MovementID]]="","",
   _xlfn.XLOOKUP(SessionMovements[[#This Row],[MovementID]],MovementLibrary[MovementID],MovementLibrary[Name],"")
)</f>
        <v>Back Extension</v>
      </c>
      <c r="D304" s="5" t="str">
        <f>IF(SessionMovements[[#This Row],[MovementID]]="","",
   _xlfn.XLOOKUP(SessionMovements[[#This Row],[MovementID]], MovementLibrary[MovementID], MovementLibrary[Modality], "")
)</f>
        <v>Gymnastics</v>
      </c>
      <c r="E304" s="5" t="str">
        <f>IF(SessionMovements[[#This Row],[MovementID]]="","",
   _xlfn.XLOOKUP(SessionMovements[[#This Row],[MovementID]], MovementLibrary[MovementID], MovementLibrary[Unit], "")
)</f>
        <v>reps</v>
      </c>
      <c r="F3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4">
        <v>4</v>
      </c>
      <c r="H304">
        <v>8</v>
      </c>
      <c r="L304" s="5" t="str">
        <f>IF(COUNTIF(Sessions[SessionID],SessionMovements[[#This Row],[SessionID]])=0,"❌ Missing","✔ OK")</f>
        <v>✔ OK</v>
      </c>
    </row>
    <row r="305" spans="1:12" x14ac:dyDescent="0.3">
      <c r="A305" t="s">
        <v>990</v>
      </c>
      <c r="B305" t="s">
        <v>428</v>
      </c>
      <c r="C305" t="str">
        <f>IF(SessionMovements[[#This Row],[MovementID]]="","",
   _xlfn.XLOOKUP(SessionMovements[[#This Row],[MovementID]],MovementLibrary[MovementID],MovementLibrary[Name],"")
)</f>
        <v>AbMat Sit-Up</v>
      </c>
      <c r="D305" s="5" t="str">
        <f>IF(SessionMovements[[#This Row],[MovementID]]="","",
   _xlfn.XLOOKUP(SessionMovements[[#This Row],[MovementID]], MovementLibrary[MovementID], MovementLibrary[Modality], "")
)</f>
        <v>Gymnastics</v>
      </c>
      <c r="E305" s="5" t="str">
        <f>IF(SessionMovements[[#This Row],[MovementID]]="","",
   _xlfn.XLOOKUP(SessionMovements[[#This Row],[MovementID]], MovementLibrary[MovementID], MovementLibrary[Unit], "")
)</f>
        <v>reps</v>
      </c>
      <c r="F3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05" t="s">
        <v>977</v>
      </c>
      <c r="L305" s="5" t="str">
        <f>IF(COUNTIF(Sessions[SessionID],SessionMovements[[#This Row],[SessionID]])=0,"❌ Missing","✔ OK")</f>
        <v>✔ OK</v>
      </c>
    </row>
    <row r="306" spans="1:12" x14ac:dyDescent="0.3">
      <c r="A306" t="s">
        <v>992</v>
      </c>
      <c r="B306" t="s">
        <v>275</v>
      </c>
      <c r="C306" t="str">
        <f>IF(SessionMovements[[#This Row],[MovementID]]="","",
   _xlfn.XLOOKUP(SessionMovements[[#This Row],[MovementID]],MovementLibrary[MovementID],MovementLibrary[Name],"")
)</f>
        <v>Power Snatch</v>
      </c>
      <c r="D306" s="5" t="str">
        <f>IF(SessionMovements[[#This Row],[MovementID]]="","",
   _xlfn.XLOOKUP(SessionMovements[[#This Row],[MovementID]], MovementLibrary[MovementID], MovementLibrary[Modality], "")
)</f>
        <v>Barbell</v>
      </c>
      <c r="E306" s="5" t="str">
        <f>IF(SessionMovements[[#This Row],[MovementID]]="","",
   _xlfn.XLOOKUP(SessionMovements[[#This Row],[MovementID]], MovementLibrary[MovementID], MovementLibrary[Unit], "")
)</f>
        <v>kg</v>
      </c>
      <c r="F3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6">
        <v>5</v>
      </c>
      <c r="H306">
        <v>3</v>
      </c>
      <c r="L306" s="5" t="str">
        <f>IF(COUNTIF(Sessions[SessionID],SessionMovements[[#This Row],[SessionID]])=0,"❌ Missing","✔ OK")</f>
        <v>✔ OK</v>
      </c>
    </row>
    <row r="307" spans="1:12" x14ac:dyDescent="0.3">
      <c r="A307" t="s">
        <v>992</v>
      </c>
      <c r="B307" t="s">
        <v>668</v>
      </c>
      <c r="C307" t="str">
        <f>IF(SessionMovements[[#This Row],[MovementID]]="","",
   _xlfn.XLOOKUP(SessionMovements[[#This Row],[MovementID]],MovementLibrary[MovementID],MovementLibrary[Name],"")
)</f>
        <v>Power Snatch + OHS (Complex)</v>
      </c>
      <c r="D307" s="5" t="str">
        <f>IF(SessionMovements[[#This Row],[MovementID]]="","",
   _xlfn.XLOOKUP(SessionMovements[[#This Row],[MovementID]], MovementLibrary[MovementID], MovementLibrary[Modality], "")
)</f>
        <v>Barbell</v>
      </c>
      <c r="E307" s="5" t="str">
        <f>IF(SessionMovements[[#This Row],[MovementID]]="","",
   _xlfn.XLOOKUP(SessionMovements[[#This Row],[MovementID]], MovementLibrary[MovementID], MovementLibrary[Unit], "")
)</f>
        <v>kg</v>
      </c>
      <c r="F3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7">
        <v>4</v>
      </c>
      <c r="H307" t="s">
        <v>981</v>
      </c>
      <c r="L307" s="5" t="str">
        <f>IF(COUNTIF(Sessions[SessionID],SessionMovements[[#This Row],[SessionID]])=0,"❌ Missing","✔ OK")</f>
        <v>✔ OK</v>
      </c>
    </row>
    <row r="308" spans="1:12" x14ac:dyDescent="0.3">
      <c r="A308" t="s">
        <v>992</v>
      </c>
      <c r="B308" t="s">
        <v>296</v>
      </c>
      <c r="C308" t="str">
        <f>IF(SessionMovements[[#This Row],[MovementID]]="","",
   _xlfn.XLOOKUP(SessionMovements[[#This Row],[MovementID]],MovementLibrary[MovementID],MovementLibrary[Name],"")
)</f>
        <v>Front Squat</v>
      </c>
      <c r="D308" s="5" t="str">
        <f>IF(SessionMovements[[#This Row],[MovementID]]="","",
   _xlfn.XLOOKUP(SessionMovements[[#This Row],[MovementID]], MovementLibrary[MovementID], MovementLibrary[Modality], "")
)</f>
        <v>Barbell</v>
      </c>
      <c r="E308" s="5" t="str">
        <f>IF(SessionMovements[[#This Row],[MovementID]]="","",
   _xlfn.XLOOKUP(SessionMovements[[#This Row],[MovementID]], MovementLibrary[MovementID], MovementLibrary[Unit], "")
)</f>
        <v>kg</v>
      </c>
      <c r="F3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8">
        <v>3</v>
      </c>
      <c r="H308">
        <v>5</v>
      </c>
      <c r="L308" s="5" t="str">
        <f>IF(COUNTIF(Sessions[SessionID],SessionMovements[[#This Row],[SessionID]])=0,"❌ Missing","✔ OK")</f>
        <v>✔ OK</v>
      </c>
    </row>
    <row r="309" spans="1:12" x14ac:dyDescent="0.3">
      <c r="A309" t="s">
        <v>992</v>
      </c>
      <c r="B309" t="s">
        <v>434</v>
      </c>
      <c r="C309" t="str">
        <f>IF(SessionMovements[[#This Row],[MovementID]]="","",
   _xlfn.XLOOKUP(SessionMovements[[#This Row],[MovementID]],MovementLibrary[MovementID],MovementLibrary[Name],"")
)</f>
        <v>Back Extension</v>
      </c>
      <c r="D309" s="5" t="str">
        <f>IF(SessionMovements[[#This Row],[MovementID]]="","",
   _xlfn.XLOOKUP(SessionMovements[[#This Row],[MovementID]], MovementLibrary[MovementID], MovementLibrary[Modality], "")
)</f>
        <v>Gymnastics</v>
      </c>
      <c r="E309" s="5" t="str">
        <f>IF(SessionMovements[[#This Row],[MovementID]]="","",
   _xlfn.XLOOKUP(SessionMovements[[#This Row],[MovementID]], MovementLibrary[MovementID], MovementLibrary[Unit], "")
)</f>
        <v>reps</v>
      </c>
      <c r="F3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09">
        <v>4</v>
      </c>
      <c r="H309">
        <v>8</v>
      </c>
      <c r="L309" s="5" t="str">
        <f>IF(COUNTIF(Sessions[SessionID],SessionMovements[[#This Row],[SessionID]])=0,"❌ Missing","✔ OK")</f>
        <v>✔ OK</v>
      </c>
    </row>
    <row r="310" spans="1:12" x14ac:dyDescent="0.3">
      <c r="A310" t="s">
        <v>992</v>
      </c>
      <c r="B310" t="s">
        <v>428</v>
      </c>
      <c r="C310" t="str">
        <f>IF(SessionMovements[[#This Row],[MovementID]]="","",
   _xlfn.XLOOKUP(SessionMovements[[#This Row],[MovementID]],MovementLibrary[MovementID],MovementLibrary[Name],"")
)</f>
        <v>AbMat Sit-Up</v>
      </c>
      <c r="D310" s="5" t="str">
        <f>IF(SessionMovements[[#This Row],[MovementID]]="","",
   _xlfn.XLOOKUP(SessionMovements[[#This Row],[MovementID]], MovementLibrary[MovementID], MovementLibrary[Modality], "")
)</f>
        <v>Gymnastics</v>
      </c>
      <c r="E310" s="5" t="str">
        <f>IF(SessionMovements[[#This Row],[MovementID]]="","",
   _xlfn.XLOOKUP(SessionMovements[[#This Row],[MovementID]], MovementLibrary[MovementID], MovementLibrary[Unit], "")
)</f>
        <v>reps</v>
      </c>
      <c r="F3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10" t="s">
        <v>977</v>
      </c>
      <c r="L310" s="5" t="str">
        <f>IF(COUNTIF(Sessions[SessionID],SessionMovements[[#This Row],[SessionID]])=0,"❌ Missing","✔ OK")</f>
        <v>✔ OK</v>
      </c>
    </row>
    <row r="311" spans="1:12" x14ac:dyDescent="0.3">
      <c r="A311" t="s">
        <v>993</v>
      </c>
      <c r="B311" t="s">
        <v>259</v>
      </c>
      <c r="C311" t="str">
        <f>IF(SessionMovements[[#This Row],[MovementID]]="","",
   _xlfn.XLOOKUP(SessionMovements[[#This Row],[MovementID]],MovementLibrary[MovementID],MovementLibrary[Name],"")
)</f>
        <v>Power Clean</v>
      </c>
      <c r="D311" s="5" t="str">
        <f>IF(SessionMovements[[#This Row],[MovementID]]="","",
   _xlfn.XLOOKUP(SessionMovements[[#This Row],[MovementID]], MovementLibrary[MovementID], MovementLibrary[Modality], "")
)</f>
        <v>Barbell</v>
      </c>
      <c r="E311" s="5" t="str">
        <f>IF(SessionMovements[[#This Row],[MovementID]]="","",
   _xlfn.XLOOKUP(SessionMovements[[#This Row],[MovementID]], MovementLibrary[MovementID], MovementLibrary[Unit], "")
)</f>
        <v>kg</v>
      </c>
      <c r="F3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1">
        <v>5</v>
      </c>
      <c r="H311">
        <v>3</v>
      </c>
      <c r="L311" s="5" t="str">
        <f>IF(COUNTIF(Sessions[SessionID],SessionMovements[[#This Row],[SessionID]])=0,"❌ Missing","✔ OK")</f>
        <v>✔ OK</v>
      </c>
    </row>
    <row r="312" spans="1:12" x14ac:dyDescent="0.3">
      <c r="A312" t="s">
        <v>993</v>
      </c>
      <c r="B312" t="s">
        <v>290</v>
      </c>
      <c r="C312" t="str">
        <f>IF(SessionMovements[[#This Row],[MovementID]]="","",
   _xlfn.XLOOKUP(SessionMovements[[#This Row],[MovementID]],MovementLibrary[MovementID],MovementLibrary[Name],"")
)</f>
        <v>Push Jerk</v>
      </c>
      <c r="D312" s="5" t="str">
        <f>IF(SessionMovements[[#This Row],[MovementID]]="","",
   _xlfn.XLOOKUP(SessionMovements[[#This Row],[MovementID]], MovementLibrary[MovementID], MovementLibrary[Modality], "")
)</f>
        <v>Barbell</v>
      </c>
      <c r="E312" s="5" t="str">
        <f>IF(SessionMovements[[#This Row],[MovementID]]="","",
   _xlfn.XLOOKUP(SessionMovements[[#This Row],[MovementID]], MovementLibrary[MovementID], MovementLibrary[Unit], "")
)</f>
        <v>kg</v>
      </c>
      <c r="F3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2">
        <v>5</v>
      </c>
      <c r="H312">
        <v>1</v>
      </c>
      <c r="L312" s="5" t="str">
        <f>IF(COUNTIF(Sessions[SessionID],SessionMovements[[#This Row],[SessionID]])=0,"❌ Missing","✔ OK")</f>
        <v>✔ OK</v>
      </c>
    </row>
    <row r="313" spans="1:12" x14ac:dyDescent="0.3">
      <c r="A313" t="s">
        <v>993</v>
      </c>
      <c r="B313" t="s">
        <v>537</v>
      </c>
      <c r="C313" t="str">
        <f>IF(SessionMovements[[#This Row],[MovementID]]="","",
   _xlfn.XLOOKUP(SessionMovements[[#This Row],[MovementID]],MovementLibrary[MovementID],MovementLibrary[Name],"")
)</f>
        <v>Clean Pull</v>
      </c>
      <c r="D313" s="5" t="str">
        <f>IF(SessionMovements[[#This Row],[MovementID]]="","",
   _xlfn.XLOOKUP(SessionMovements[[#This Row],[MovementID]], MovementLibrary[MovementID], MovementLibrary[Modality], "")
)</f>
        <v>Barbell</v>
      </c>
      <c r="E313" s="5" t="str">
        <f>IF(SessionMovements[[#This Row],[MovementID]]="","",
   _xlfn.XLOOKUP(SessionMovements[[#This Row],[MovementID]], MovementLibrary[MovementID], MovementLibrary[Unit], "")
)</f>
        <v>kg</v>
      </c>
      <c r="F3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3">
        <v>3</v>
      </c>
      <c r="H313">
        <v>5</v>
      </c>
      <c r="L313" s="5" t="str">
        <f>IF(COUNTIF(Sessions[SessionID],SessionMovements[[#This Row],[SessionID]])=0,"❌ Missing","✔ OK")</f>
        <v>✔ OK</v>
      </c>
    </row>
    <row r="314" spans="1:12" x14ac:dyDescent="0.3">
      <c r="A314" t="s">
        <v>993</v>
      </c>
      <c r="B314" t="s">
        <v>298</v>
      </c>
      <c r="C314" t="str">
        <f>IF(SessionMovements[[#This Row],[MovementID]]="","",
   _xlfn.XLOOKUP(SessionMovements[[#This Row],[MovementID]],MovementLibrary[MovementID],MovementLibrary[Name],"")
)</f>
        <v>Back Squat</v>
      </c>
      <c r="D314" s="5" t="str">
        <f>IF(SessionMovements[[#This Row],[MovementID]]="","",
   _xlfn.XLOOKUP(SessionMovements[[#This Row],[MovementID]], MovementLibrary[MovementID], MovementLibrary[Modality], "")
)</f>
        <v>Barbell</v>
      </c>
      <c r="E314" s="5" t="str">
        <f>IF(SessionMovements[[#This Row],[MovementID]]="","",
   _xlfn.XLOOKUP(SessionMovements[[#This Row],[MovementID]], MovementLibrary[MovementID], MovementLibrary[Unit], "")
)</f>
        <v>kg</v>
      </c>
      <c r="F3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4">
        <v>4</v>
      </c>
      <c r="H314">
        <v>5</v>
      </c>
      <c r="L314" s="5" t="str">
        <f>IF(COUNTIF(Sessions[SessionID],SessionMovements[[#This Row],[SessionID]])=0,"❌ Missing","✔ OK")</f>
        <v>✔ OK</v>
      </c>
    </row>
    <row r="315" spans="1:12" x14ac:dyDescent="0.3">
      <c r="A315" t="s">
        <v>993</v>
      </c>
      <c r="B315" t="s">
        <v>434</v>
      </c>
      <c r="C315" t="str">
        <f>IF(SessionMovements[[#This Row],[MovementID]]="","",
   _xlfn.XLOOKUP(SessionMovements[[#This Row],[MovementID]],MovementLibrary[MovementID],MovementLibrary[Name],"")
)</f>
        <v>Back Extension</v>
      </c>
      <c r="D315" s="5" t="str">
        <f>IF(SessionMovements[[#This Row],[MovementID]]="","",
   _xlfn.XLOOKUP(SessionMovements[[#This Row],[MovementID]], MovementLibrary[MovementID], MovementLibrary[Modality], "")
)</f>
        <v>Gymnastics</v>
      </c>
      <c r="E315" s="5" t="str">
        <f>IF(SessionMovements[[#This Row],[MovementID]]="","",
   _xlfn.XLOOKUP(SessionMovements[[#This Row],[MovementID]], MovementLibrary[MovementID], MovementLibrary[Unit], "")
)</f>
        <v>reps</v>
      </c>
      <c r="F3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5">
        <v>4</v>
      </c>
      <c r="H315">
        <v>8</v>
      </c>
      <c r="L315" s="5" t="str">
        <f>IF(COUNTIF(Sessions[SessionID],SessionMovements[[#This Row],[SessionID]])=0,"❌ Missing","✔ OK")</f>
        <v>✔ OK</v>
      </c>
    </row>
    <row r="316" spans="1:12" x14ac:dyDescent="0.3">
      <c r="A316" t="s">
        <v>993</v>
      </c>
      <c r="B316" t="s">
        <v>428</v>
      </c>
      <c r="C316" t="str">
        <f>IF(SessionMovements[[#This Row],[MovementID]]="","",
   _xlfn.XLOOKUP(SessionMovements[[#This Row],[MovementID]],MovementLibrary[MovementID],MovementLibrary[Name],"")
)</f>
        <v>AbMat Sit-Up</v>
      </c>
      <c r="D316" s="5" t="str">
        <f>IF(SessionMovements[[#This Row],[MovementID]]="","",
   _xlfn.XLOOKUP(SessionMovements[[#This Row],[MovementID]], MovementLibrary[MovementID], MovementLibrary[Modality], "")
)</f>
        <v>Gymnastics</v>
      </c>
      <c r="E316" s="5" t="str">
        <f>IF(SessionMovements[[#This Row],[MovementID]]="","",
   _xlfn.XLOOKUP(SessionMovements[[#This Row],[MovementID]], MovementLibrary[MovementID], MovementLibrary[Unit], "")
)</f>
        <v>reps</v>
      </c>
      <c r="F3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16" t="s">
        <v>977</v>
      </c>
      <c r="L316" s="5" t="str">
        <f>IF(COUNTIF(Sessions[SessionID],SessionMovements[[#This Row],[SessionID]])=0,"❌ Missing","✔ OK")</f>
        <v>✔ OK</v>
      </c>
    </row>
    <row r="317" spans="1:12" x14ac:dyDescent="0.3">
      <c r="A317" t="s">
        <v>994</v>
      </c>
      <c r="B317" t="s">
        <v>275</v>
      </c>
      <c r="C317" t="str">
        <f>IF(SessionMovements[[#This Row],[MovementID]]="","",
   _xlfn.XLOOKUP(SessionMovements[[#This Row],[MovementID]],MovementLibrary[MovementID],MovementLibrary[Name],"")
)</f>
        <v>Power Snatch</v>
      </c>
      <c r="D317" s="5" t="str">
        <f>IF(SessionMovements[[#This Row],[MovementID]]="","",
   _xlfn.XLOOKUP(SessionMovements[[#This Row],[MovementID]], MovementLibrary[MovementID], MovementLibrary[Modality], "")
)</f>
        <v>Barbell</v>
      </c>
      <c r="E317" s="5" t="str">
        <f>IF(SessionMovements[[#This Row],[MovementID]]="","",
   _xlfn.XLOOKUP(SessionMovements[[#This Row],[MovementID]], MovementLibrary[MovementID], MovementLibrary[Unit], "")
)</f>
        <v>kg</v>
      </c>
      <c r="F3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7">
        <v>5</v>
      </c>
      <c r="H317">
        <v>1</v>
      </c>
      <c r="L317" s="5" t="str">
        <f>IF(COUNTIF(Sessions[SessionID],SessionMovements[[#This Row],[SessionID]])=0,"❌ Missing","✔ OK")</f>
        <v>✔ OK</v>
      </c>
    </row>
    <row r="318" spans="1:12" x14ac:dyDescent="0.3">
      <c r="A318" t="s">
        <v>994</v>
      </c>
      <c r="B318" t="s">
        <v>276</v>
      </c>
      <c r="C318" t="str">
        <f>IF(SessionMovements[[#This Row],[MovementID]]="","",
   _xlfn.XLOOKUP(SessionMovements[[#This Row],[MovementID]],MovementLibrary[MovementID],MovementLibrary[Name],"")
)</f>
        <v>Hang Snatch</v>
      </c>
      <c r="D318" s="5" t="str">
        <f>IF(SessionMovements[[#This Row],[MovementID]]="","",
   _xlfn.XLOOKUP(SessionMovements[[#This Row],[MovementID]], MovementLibrary[MovementID], MovementLibrary[Modality], "")
)</f>
        <v>Barbell</v>
      </c>
      <c r="E318" s="5" t="str">
        <f>IF(SessionMovements[[#This Row],[MovementID]]="","",
   _xlfn.XLOOKUP(SessionMovements[[#This Row],[MovementID]], MovementLibrary[MovementID], MovementLibrary[Unit], "")
)</f>
        <v>kg</v>
      </c>
      <c r="F3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8">
        <v>5</v>
      </c>
      <c r="H318">
        <v>1</v>
      </c>
      <c r="K318" t="s">
        <v>927</v>
      </c>
      <c r="L318" s="5" t="str">
        <f>IF(COUNTIF(Sessions[SessionID],SessionMovements[[#This Row],[SessionID]])=0,"❌ Missing","✔ OK")</f>
        <v>✔ OK</v>
      </c>
    </row>
    <row r="319" spans="1:12" x14ac:dyDescent="0.3">
      <c r="A319" t="s">
        <v>994</v>
      </c>
      <c r="B319" t="s">
        <v>651</v>
      </c>
      <c r="C319" t="str">
        <f>IF(SessionMovements[[#This Row],[MovementID]]="","",
   _xlfn.XLOOKUP(SessionMovements[[#This Row],[MovementID]],MovementLibrary[MovementID],MovementLibrary[Name],"")
)</f>
        <v>Segmented Snatch Deadlift (1" + knee)</v>
      </c>
      <c r="D319" s="5" t="str">
        <f>IF(SessionMovements[[#This Row],[MovementID]]="","",
   _xlfn.XLOOKUP(SessionMovements[[#This Row],[MovementID]], MovementLibrary[MovementID], MovementLibrary[Modality], "")
)</f>
        <v>Barbell</v>
      </c>
      <c r="E319" s="5" t="str">
        <f>IF(SessionMovements[[#This Row],[MovementID]]="","",
   _xlfn.XLOOKUP(SessionMovements[[#This Row],[MovementID]], MovementLibrary[MovementID], MovementLibrary[Unit], "")
)</f>
        <v>kg</v>
      </c>
      <c r="F3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19">
        <v>3</v>
      </c>
      <c r="H319">
        <v>3</v>
      </c>
      <c r="K319" t="s">
        <v>984</v>
      </c>
      <c r="L319" s="5" t="str">
        <f>IF(COUNTIF(Sessions[SessionID],SessionMovements[[#This Row],[SessionID]])=0,"❌ Missing","✔ OK")</f>
        <v>✔ OK</v>
      </c>
    </row>
    <row r="320" spans="1:12" x14ac:dyDescent="0.3">
      <c r="A320" t="s">
        <v>994</v>
      </c>
      <c r="B320" t="s">
        <v>298</v>
      </c>
      <c r="C320" t="str">
        <f>IF(SessionMovements[[#This Row],[MovementID]]="","",
   _xlfn.XLOOKUP(SessionMovements[[#This Row],[MovementID]],MovementLibrary[MovementID],MovementLibrary[Name],"")
)</f>
        <v>Back Squat</v>
      </c>
      <c r="D320" s="5" t="str">
        <f>IF(SessionMovements[[#This Row],[MovementID]]="","",
   _xlfn.XLOOKUP(SessionMovements[[#This Row],[MovementID]], MovementLibrary[MovementID], MovementLibrary[Modality], "")
)</f>
        <v>Barbell</v>
      </c>
      <c r="E320" s="5" t="str">
        <f>IF(SessionMovements[[#This Row],[MovementID]]="","",
   _xlfn.XLOOKUP(SessionMovements[[#This Row],[MovementID]], MovementLibrary[MovementID], MovementLibrary[Unit], "")
)</f>
        <v>kg</v>
      </c>
      <c r="F3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0">
        <v>4</v>
      </c>
      <c r="H320">
        <v>5</v>
      </c>
      <c r="L320" s="5" t="str">
        <f>IF(COUNTIF(Sessions[SessionID],SessionMovements[[#This Row],[SessionID]])=0,"❌ Missing","✔ OK")</f>
        <v>✔ OK</v>
      </c>
    </row>
    <row r="321" spans="1:12" x14ac:dyDescent="0.3">
      <c r="A321" t="s">
        <v>994</v>
      </c>
      <c r="B321" t="s">
        <v>434</v>
      </c>
      <c r="C321" t="str">
        <f>IF(SessionMovements[[#This Row],[MovementID]]="","",
   _xlfn.XLOOKUP(SessionMovements[[#This Row],[MovementID]],MovementLibrary[MovementID],MovementLibrary[Name],"")
)</f>
        <v>Back Extension</v>
      </c>
      <c r="D321" s="5" t="str">
        <f>IF(SessionMovements[[#This Row],[MovementID]]="","",
   _xlfn.XLOOKUP(SessionMovements[[#This Row],[MovementID]], MovementLibrary[MovementID], MovementLibrary[Modality], "")
)</f>
        <v>Gymnastics</v>
      </c>
      <c r="E321" s="5" t="str">
        <f>IF(SessionMovements[[#This Row],[MovementID]]="","",
   _xlfn.XLOOKUP(SessionMovements[[#This Row],[MovementID]], MovementLibrary[MovementID], MovementLibrary[Unit], "")
)</f>
        <v>reps</v>
      </c>
      <c r="F3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1">
        <v>4</v>
      </c>
      <c r="H321">
        <v>8</v>
      </c>
      <c r="L321" s="5" t="str">
        <f>IF(COUNTIF(Sessions[SessionID],SessionMovements[[#This Row],[SessionID]])=0,"❌ Missing","✔ OK")</f>
        <v>✔ OK</v>
      </c>
    </row>
    <row r="322" spans="1:12" x14ac:dyDescent="0.3">
      <c r="A322" t="s">
        <v>994</v>
      </c>
      <c r="B322" t="s">
        <v>428</v>
      </c>
      <c r="C322" t="str">
        <f>IF(SessionMovements[[#This Row],[MovementID]]="","",
   _xlfn.XLOOKUP(SessionMovements[[#This Row],[MovementID]],MovementLibrary[MovementID],MovementLibrary[Name],"")
)</f>
        <v>AbMat Sit-Up</v>
      </c>
      <c r="D322" s="5" t="str">
        <f>IF(SessionMovements[[#This Row],[MovementID]]="","",
   _xlfn.XLOOKUP(SessionMovements[[#This Row],[MovementID]], MovementLibrary[MovementID], MovementLibrary[Modality], "")
)</f>
        <v>Gymnastics</v>
      </c>
      <c r="E322" s="5" t="str">
        <f>IF(SessionMovements[[#This Row],[MovementID]]="","",
   _xlfn.XLOOKUP(SessionMovements[[#This Row],[MovementID]], MovementLibrary[MovementID], MovementLibrary[Unit], "")
)</f>
        <v>reps</v>
      </c>
      <c r="F3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22" t="s">
        <v>977</v>
      </c>
      <c r="L322" s="5" t="str">
        <f>IF(COUNTIF(Sessions[SessionID],SessionMovements[[#This Row],[SessionID]])=0,"❌ Missing","✔ OK")</f>
        <v>✔ OK</v>
      </c>
    </row>
    <row r="323" spans="1:12" x14ac:dyDescent="0.3">
      <c r="A323" t="s">
        <v>995</v>
      </c>
      <c r="B323" t="s">
        <v>275</v>
      </c>
      <c r="C323" t="str">
        <f>IF(SessionMovements[[#This Row],[MovementID]]="","",
   _xlfn.XLOOKUP(SessionMovements[[#This Row],[MovementID]],MovementLibrary[MovementID],MovementLibrary[Name],"")
)</f>
        <v>Power Snatch</v>
      </c>
      <c r="D323" s="5" t="str">
        <f>IF(SessionMovements[[#This Row],[MovementID]]="","",
   _xlfn.XLOOKUP(SessionMovements[[#This Row],[MovementID]], MovementLibrary[MovementID], MovementLibrary[Modality], "")
)</f>
        <v>Barbell</v>
      </c>
      <c r="E323" s="5" t="str">
        <f>IF(SessionMovements[[#This Row],[MovementID]]="","",
   _xlfn.XLOOKUP(SessionMovements[[#This Row],[MovementID]], MovementLibrary[MovementID], MovementLibrary[Unit], "")
)</f>
        <v>kg</v>
      </c>
      <c r="F3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3">
        <v>5</v>
      </c>
      <c r="H323">
        <v>2</v>
      </c>
      <c r="L323" s="5" t="str">
        <f>IF(COUNTIF(Sessions[SessionID],SessionMovements[[#This Row],[SessionID]])=0,"❌ Missing","✔ OK")</f>
        <v>✔ OK</v>
      </c>
    </row>
    <row r="324" spans="1:12" x14ac:dyDescent="0.3">
      <c r="A324" t="s">
        <v>995</v>
      </c>
      <c r="B324" t="s">
        <v>668</v>
      </c>
      <c r="C324" t="str">
        <f>IF(SessionMovements[[#This Row],[MovementID]]="","",
   _xlfn.XLOOKUP(SessionMovements[[#This Row],[MovementID]],MovementLibrary[MovementID],MovementLibrary[Name],"")
)</f>
        <v>Power Snatch + OHS (Complex)</v>
      </c>
      <c r="D324" s="5" t="str">
        <f>IF(SessionMovements[[#This Row],[MovementID]]="","",
   _xlfn.XLOOKUP(SessionMovements[[#This Row],[MovementID]], MovementLibrary[MovementID], MovementLibrary[Modality], "")
)</f>
        <v>Barbell</v>
      </c>
      <c r="E324" s="5" t="str">
        <f>IF(SessionMovements[[#This Row],[MovementID]]="","",
   _xlfn.XLOOKUP(SessionMovements[[#This Row],[MovementID]], MovementLibrary[MovementID], MovementLibrary[Unit], "")
)</f>
        <v>kg</v>
      </c>
      <c r="F3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4">
        <v>3</v>
      </c>
      <c r="H324" t="s">
        <v>981</v>
      </c>
      <c r="L324" s="5" t="str">
        <f>IF(COUNTIF(Sessions[SessionID],SessionMovements[[#This Row],[SessionID]])=0,"❌ Missing","✔ OK")</f>
        <v>✔ OK</v>
      </c>
    </row>
    <row r="325" spans="1:12" x14ac:dyDescent="0.3">
      <c r="A325" t="s">
        <v>995</v>
      </c>
      <c r="B325" t="s">
        <v>296</v>
      </c>
      <c r="C325" t="str">
        <f>IF(SessionMovements[[#This Row],[MovementID]]="","",
   _xlfn.XLOOKUP(SessionMovements[[#This Row],[MovementID]],MovementLibrary[MovementID],MovementLibrary[Name],"")
)</f>
        <v>Front Squat</v>
      </c>
      <c r="D325" s="5" t="str">
        <f>IF(SessionMovements[[#This Row],[MovementID]]="","",
   _xlfn.XLOOKUP(SessionMovements[[#This Row],[MovementID]], MovementLibrary[MovementID], MovementLibrary[Modality], "")
)</f>
        <v>Barbell</v>
      </c>
      <c r="E325" s="5" t="str">
        <f>IF(SessionMovements[[#This Row],[MovementID]]="","",
   _xlfn.XLOOKUP(SessionMovements[[#This Row],[MovementID]], MovementLibrary[MovementID], MovementLibrary[Unit], "")
)</f>
        <v>kg</v>
      </c>
      <c r="F3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5">
        <v>3</v>
      </c>
      <c r="H325">
        <v>5</v>
      </c>
      <c r="L325" s="5" t="str">
        <f>IF(COUNTIF(Sessions[SessionID],SessionMovements[[#This Row],[SessionID]])=0,"❌ Missing","✔ OK")</f>
        <v>✔ OK</v>
      </c>
    </row>
    <row r="326" spans="1:12" x14ac:dyDescent="0.3">
      <c r="A326" t="s">
        <v>995</v>
      </c>
      <c r="B326" t="s">
        <v>434</v>
      </c>
      <c r="C326" t="str">
        <f>IF(SessionMovements[[#This Row],[MovementID]]="","",
   _xlfn.XLOOKUP(SessionMovements[[#This Row],[MovementID]],MovementLibrary[MovementID],MovementLibrary[Name],"")
)</f>
        <v>Back Extension</v>
      </c>
      <c r="D326" s="5" t="str">
        <f>IF(SessionMovements[[#This Row],[MovementID]]="","",
   _xlfn.XLOOKUP(SessionMovements[[#This Row],[MovementID]], MovementLibrary[MovementID], MovementLibrary[Modality], "")
)</f>
        <v>Gymnastics</v>
      </c>
      <c r="E326" s="5" t="str">
        <f>IF(SessionMovements[[#This Row],[MovementID]]="","",
   _xlfn.XLOOKUP(SessionMovements[[#This Row],[MovementID]], MovementLibrary[MovementID], MovementLibrary[Unit], "")
)</f>
        <v>reps</v>
      </c>
      <c r="F3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6">
        <v>4</v>
      </c>
      <c r="H326">
        <v>8</v>
      </c>
      <c r="L326" s="5" t="str">
        <f>IF(COUNTIF(Sessions[SessionID],SessionMovements[[#This Row],[SessionID]])=0,"❌ Missing","✔ OK")</f>
        <v>✔ OK</v>
      </c>
    </row>
    <row r="327" spans="1:12" x14ac:dyDescent="0.3">
      <c r="A327" t="s">
        <v>995</v>
      </c>
      <c r="B327" t="s">
        <v>428</v>
      </c>
      <c r="C327" t="str">
        <f>IF(SessionMovements[[#This Row],[MovementID]]="","",
   _xlfn.XLOOKUP(SessionMovements[[#This Row],[MovementID]],MovementLibrary[MovementID],MovementLibrary[Name],"")
)</f>
        <v>AbMat Sit-Up</v>
      </c>
      <c r="D327" s="5" t="str">
        <f>IF(SessionMovements[[#This Row],[MovementID]]="","",
   _xlfn.XLOOKUP(SessionMovements[[#This Row],[MovementID]], MovementLibrary[MovementID], MovementLibrary[Modality], "")
)</f>
        <v>Gymnastics</v>
      </c>
      <c r="E327" s="5" t="str">
        <f>IF(SessionMovements[[#This Row],[MovementID]]="","",
   _xlfn.XLOOKUP(SessionMovements[[#This Row],[MovementID]], MovementLibrary[MovementID], MovementLibrary[Unit], "")
)</f>
        <v>reps</v>
      </c>
      <c r="F3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27" t="s">
        <v>977</v>
      </c>
      <c r="L327" s="5" t="str">
        <f>IF(COUNTIF(Sessions[SessionID],SessionMovements[[#This Row],[SessionID]])=0,"❌ Missing","✔ OK")</f>
        <v>✔ OK</v>
      </c>
    </row>
    <row r="328" spans="1:12" x14ac:dyDescent="0.3">
      <c r="A328" t="s">
        <v>996</v>
      </c>
      <c r="B328" t="s">
        <v>259</v>
      </c>
      <c r="C328" t="str">
        <f>IF(SessionMovements[[#This Row],[MovementID]]="","",
   _xlfn.XLOOKUP(SessionMovements[[#This Row],[MovementID]],MovementLibrary[MovementID],MovementLibrary[Name],"")
)</f>
        <v>Power Clean</v>
      </c>
      <c r="D328" s="5" t="str">
        <f>IF(SessionMovements[[#This Row],[MovementID]]="","",
   _xlfn.XLOOKUP(SessionMovements[[#This Row],[MovementID]], MovementLibrary[MovementID], MovementLibrary[Modality], "")
)</f>
        <v>Barbell</v>
      </c>
      <c r="E328" s="5" t="str">
        <f>IF(SessionMovements[[#This Row],[MovementID]]="","",
   _xlfn.XLOOKUP(SessionMovements[[#This Row],[MovementID]], MovementLibrary[MovementID], MovementLibrary[Unit], "")
)</f>
        <v>kg</v>
      </c>
      <c r="F3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8">
        <v>5</v>
      </c>
      <c r="H328">
        <v>1</v>
      </c>
      <c r="L328" s="5" t="str">
        <f>IF(COUNTIF(Sessions[SessionID],SessionMovements[[#This Row],[SessionID]])=0,"❌ Missing","✔ OK")</f>
        <v>✔ OK</v>
      </c>
    </row>
    <row r="329" spans="1:12" x14ac:dyDescent="0.3">
      <c r="A329" t="s">
        <v>996</v>
      </c>
      <c r="B329" t="s">
        <v>283</v>
      </c>
      <c r="C329" t="str">
        <f>IF(SessionMovements[[#This Row],[MovementID]]="","",
   _xlfn.XLOOKUP(SessionMovements[[#This Row],[MovementID]],MovementLibrary[MovementID],MovementLibrary[Name],"")
)</f>
        <v>Hang Clean</v>
      </c>
      <c r="D329" s="5" t="str">
        <f>IF(SessionMovements[[#This Row],[MovementID]]="","",
   _xlfn.XLOOKUP(SessionMovements[[#This Row],[MovementID]], MovementLibrary[MovementID], MovementLibrary[Modality], "")
)</f>
        <v>Barbell</v>
      </c>
      <c r="E329" s="5" t="str">
        <f>IF(SessionMovements[[#This Row],[MovementID]]="","",
   _xlfn.XLOOKUP(SessionMovements[[#This Row],[MovementID]], MovementLibrary[MovementID], MovementLibrary[Unit], "")
)</f>
        <v>kg</v>
      </c>
      <c r="F3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29">
        <v>5</v>
      </c>
      <c r="H329">
        <v>1</v>
      </c>
      <c r="K329" t="s">
        <v>927</v>
      </c>
      <c r="L329" s="5" t="str">
        <f>IF(COUNTIF(Sessions[SessionID],SessionMovements[[#This Row],[SessionID]])=0,"❌ Missing","✔ OK")</f>
        <v>✔ OK</v>
      </c>
    </row>
    <row r="330" spans="1:12" x14ac:dyDescent="0.3">
      <c r="A330" t="s">
        <v>996</v>
      </c>
      <c r="B330" t="s">
        <v>656</v>
      </c>
      <c r="C330" t="str">
        <f>IF(SessionMovements[[#This Row],[MovementID]]="","",
   _xlfn.XLOOKUP(SessionMovements[[#This Row],[MovementID]],MovementLibrary[MovementID],MovementLibrary[Name],"")
)</f>
        <v>Clean High Pull</v>
      </c>
      <c r="D330" s="5" t="str">
        <f>IF(SessionMovements[[#This Row],[MovementID]]="","",
   _xlfn.XLOOKUP(SessionMovements[[#This Row],[MovementID]], MovementLibrary[MovementID], MovementLibrary[Modality], "")
)</f>
        <v>Barbell</v>
      </c>
      <c r="E330" s="5" t="str">
        <f>IF(SessionMovements[[#This Row],[MovementID]]="","",
   _xlfn.XLOOKUP(SessionMovements[[#This Row],[MovementID]], MovementLibrary[MovementID], MovementLibrary[Unit], "")
)</f>
        <v>kg</v>
      </c>
      <c r="F3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0">
        <v>3</v>
      </c>
      <c r="H330">
        <v>3</v>
      </c>
      <c r="K330" t="s">
        <v>987</v>
      </c>
      <c r="L330" s="5" t="str">
        <f>IF(COUNTIF(Sessions[SessionID],SessionMovements[[#This Row],[SessionID]])=0,"❌ Missing","✔ OK")</f>
        <v>✔ OK</v>
      </c>
    </row>
    <row r="331" spans="1:12" x14ac:dyDescent="0.3">
      <c r="A331" t="s">
        <v>996</v>
      </c>
      <c r="B331" t="s">
        <v>292</v>
      </c>
      <c r="C331" t="str">
        <f>IF(SessionMovements[[#This Row],[MovementID]]="","",
   _xlfn.XLOOKUP(SessionMovements[[#This Row],[MovementID]],MovementLibrary[MovementID],MovementLibrary[Name],"")
)</f>
        <v>Push Press</v>
      </c>
      <c r="D331" s="5" t="str">
        <f>IF(SessionMovements[[#This Row],[MovementID]]="","",
   _xlfn.XLOOKUP(SessionMovements[[#This Row],[MovementID]], MovementLibrary[MovementID], MovementLibrary[Modality], "")
)</f>
        <v>Barbell</v>
      </c>
      <c r="E331" s="5" t="str">
        <f>IF(SessionMovements[[#This Row],[MovementID]]="","",
   _xlfn.XLOOKUP(SessionMovements[[#This Row],[MovementID]], MovementLibrary[MovementID], MovementLibrary[Unit], "")
)</f>
        <v>kg</v>
      </c>
      <c r="F3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1">
        <v>3</v>
      </c>
      <c r="H331">
        <v>5</v>
      </c>
      <c r="L331" s="5" t="str">
        <f>IF(COUNTIF(Sessions[SessionID],SessionMovements[[#This Row],[SessionID]])=0,"❌ Missing","✔ OK")</f>
        <v>✔ OK</v>
      </c>
    </row>
    <row r="332" spans="1:12" x14ac:dyDescent="0.3">
      <c r="A332" t="s">
        <v>996</v>
      </c>
      <c r="B332" t="s">
        <v>434</v>
      </c>
      <c r="C332" t="str">
        <f>IF(SessionMovements[[#This Row],[MovementID]]="","",
   _xlfn.XLOOKUP(SessionMovements[[#This Row],[MovementID]],MovementLibrary[MovementID],MovementLibrary[Name],"")
)</f>
        <v>Back Extension</v>
      </c>
      <c r="D332" s="5" t="str">
        <f>IF(SessionMovements[[#This Row],[MovementID]]="","",
   _xlfn.XLOOKUP(SessionMovements[[#This Row],[MovementID]], MovementLibrary[MovementID], MovementLibrary[Modality], "")
)</f>
        <v>Gymnastics</v>
      </c>
      <c r="E332" s="5" t="str">
        <f>IF(SessionMovements[[#This Row],[MovementID]]="","",
   _xlfn.XLOOKUP(SessionMovements[[#This Row],[MovementID]], MovementLibrary[MovementID], MovementLibrary[Unit], "")
)</f>
        <v>reps</v>
      </c>
      <c r="F3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2">
        <v>4</v>
      </c>
      <c r="H332">
        <v>8</v>
      </c>
      <c r="L332" s="5" t="str">
        <f>IF(COUNTIF(Sessions[SessionID],SessionMovements[[#This Row],[SessionID]])=0,"❌ Missing","✔ OK")</f>
        <v>✔ OK</v>
      </c>
    </row>
    <row r="333" spans="1:12" x14ac:dyDescent="0.3">
      <c r="A333" t="s">
        <v>996</v>
      </c>
      <c r="B333" t="s">
        <v>428</v>
      </c>
      <c r="C333" t="str">
        <f>IF(SessionMovements[[#This Row],[MovementID]]="","",
   _xlfn.XLOOKUP(SessionMovements[[#This Row],[MovementID]],MovementLibrary[MovementID],MovementLibrary[Name],"")
)</f>
        <v>AbMat Sit-Up</v>
      </c>
      <c r="D333" s="5" t="str">
        <f>IF(SessionMovements[[#This Row],[MovementID]]="","",
   _xlfn.XLOOKUP(SessionMovements[[#This Row],[MovementID]], MovementLibrary[MovementID], MovementLibrary[Modality], "")
)</f>
        <v>Gymnastics</v>
      </c>
      <c r="E333" s="5" t="str">
        <f>IF(SessionMovements[[#This Row],[MovementID]]="","",
   _xlfn.XLOOKUP(SessionMovements[[#This Row],[MovementID]], MovementLibrary[MovementID], MovementLibrary[Unit], "")
)</f>
        <v>reps</v>
      </c>
      <c r="F3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33" t="s">
        <v>977</v>
      </c>
      <c r="L333" s="5" t="str">
        <f>IF(COUNTIF(Sessions[SessionID],SessionMovements[[#This Row],[SessionID]])=0,"❌ Missing","✔ OK")</f>
        <v>✔ OK</v>
      </c>
    </row>
    <row r="334" spans="1:12" x14ac:dyDescent="0.3">
      <c r="A334" t="s">
        <v>997</v>
      </c>
      <c r="B334" t="s">
        <v>259</v>
      </c>
      <c r="C334" t="str">
        <f>IF(SessionMovements[[#This Row],[MovementID]]="","",
   _xlfn.XLOOKUP(SessionMovements[[#This Row],[MovementID]],MovementLibrary[MovementID],MovementLibrary[Name],"")
)</f>
        <v>Power Clean</v>
      </c>
      <c r="D334" s="5" t="str">
        <f>IF(SessionMovements[[#This Row],[MovementID]]="","",
   _xlfn.XLOOKUP(SessionMovements[[#This Row],[MovementID]], MovementLibrary[MovementID], MovementLibrary[Modality], "")
)</f>
        <v>Barbell</v>
      </c>
      <c r="E334" s="5" t="str">
        <f>IF(SessionMovements[[#This Row],[MovementID]]="","",
   _xlfn.XLOOKUP(SessionMovements[[#This Row],[MovementID]], MovementLibrary[MovementID], MovementLibrary[Unit], "")
)</f>
        <v>kg</v>
      </c>
      <c r="F3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4">
        <v>5</v>
      </c>
      <c r="H334">
        <v>1</v>
      </c>
      <c r="L334" s="5" t="str">
        <f>IF(COUNTIF(Sessions[SessionID],SessionMovements[[#This Row],[SessionID]])=0,"❌ Missing","✔ OK")</f>
        <v>✔ OK</v>
      </c>
    </row>
    <row r="335" spans="1:12" x14ac:dyDescent="0.3">
      <c r="A335" t="s">
        <v>997</v>
      </c>
      <c r="B335" t="s">
        <v>290</v>
      </c>
      <c r="C335" t="str">
        <f>IF(SessionMovements[[#This Row],[MovementID]]="","",
   _xlfn.XLOOKUP(SessionMovements[[#This Row],[MovementID]],MovementLibrary[MovementID],MovementLibrary[Name],"")
)</f>
        <v>Push Jerk</v>
      </c>
      <c r="D335" s="5" t="str">
        <f>IF(SessionMovements[[#This Row],[MovementID]]="","",
   _xlfn.XLOOKUP(SessionMovements[[#This Row],[MovementID]], MovementLibrary[MovementID], MovementLibrary[Modality], "")
)</f>
        <v>Barbell</v>
      </c>
      <c r="E335" s="5" t="str">
        <f>IF(SessionMovements[[#This Row],[MovementID]]="","",
   _xlfn.XLOOKUP(SessionMovements[[#This Row],[MovementID]], MovementLibrary[MovementID], MovementLibrary[Unit], "")
)</f>
        <v>kg</v>
      </c>
      <c r="F3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5">
        <v>5</v>
      </c>
      <c r="H335">
        <v>3</v>
      </c>
      <c r="L335" s="5" t="str">
        <f>IF(COUNTIF(Sessions[SessionID],SessionMovements[[#This Row],[SessionID]])=0,"❌ Missing","✔ OK")</f>
        <v>✔ OK</v>
      </c>
    </row>
    <row r="336" spans="1:12" x14ac:dyDescent="0.3">
      <c r="A336" t="s">
        <v>997</v>
      </c>
      <c r="B336" t="s">
        <v>534</v>
      </c>
      <c r="C336" t="str">
        <f>IF(SessionMovements[[#This Row],[MovementID]]="","",
   _xlfn.XLOOKUP(SessionMovements[[#This Row],[MovementID]],MovementLibrary[MovementID],MovementLibrary[Name],"")
)</f>
        <v>Snatch Pull</v>
      </c>
      <c r="D336" s="5" t="str">
        <f>IF(SessionMovements[[#This Row],[MovementID]]="","",
   _xlfn.XLOOKUP(SessionMovements[[#This Row],[MovementID]], MovementLibrary[MovementID], MovementLibrary[Modality], "")
)</f>
        <v>Barbell</v>
      </c>
      <c r="E336" s="5" t="str">
        <f>IF(SessionMovements[[#This Row],[MovementID]]="","",
   _xlfn.XLOOKUP(SessionMovements[[#This Row],[MovementID]], MovementLibrary[MovementID], MovementLibrary[Unit], "")
)</f>
        <v>kg</v>
      </c>
      <c r="F3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6">
        <v>3</v>
      </c>
      <c r="H336">
        <v>4</v>
      </c>
      <c r="L336" s="5" t="str">
        <f>IF(COUNTIF(Sessions[SessionID],SessionMovements[[#This Row],[SessionID]])=0,"❌ Missing","✔ OK")</f>
        <v>✔ OK</v>
      </c>
    </row>
    <row r="337" spans="1:12" x14ac:dyDescent="0.3">
      <c r="A337" t="s">
        <v>997</v>
      </c>
      <c r="B337" t="s">
        <v>298</v>
      </c>
      <c r="C337" t="str">
        <f>IF(SessionMovements[[#This Row],[MovementID]]="","",
   _xlfn.XLOOKUP(SessionMovements[[#This Row],[MovementID]],MovementLibrary[MovementID],MovementLibrary[Name],"")
)</f>
        <v>Back Squat</v>
      </c>
      <c r="D337" s="5" t="str">
        <f>IF(SessionMovements[[#This Row],[MovementID]]="","",
   _xlfn.XLOOKUP(SessionMovements[[#This Row],[MovementID]], MovementLibrary[MovementID], MovementLibrary[Modality], "")
)</f>
        <v>Barbell</v>
      </c>
      <c r="E337" s="5" t="str">
        <f>IF(SessionMovements[[#This Row],[MovementID]]="","",
   _xlfn.XLOOKUP(SessionMovements[[#This Row],[MovementID]], MovementLibrary[MovementID], MovementLibrary[Unit], "")
)</f>
        <v>kg</v>
      </c>
      <c r="F3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7">
        <v>4</v>
      </c>
      <c r="H337">
        <v>5</v>
      </c>
      <c r="L337" s="5" t="str">
        <f>IF(COUNTIF(Sessions[SessionID],SessionMovements[[#This Row],[SessionID]])=0,"❌ Missing","✔ OK")</f>
        <v>✔ OK</v>
      </c>
    </row>
    <row r="338" spans="1:12" x14ac:dyDescent="0.3">
      <c r="A338" t="s">
        <v>997</v>
      </c>
      <c r="B338" t="s">
        <v>434</v>
      </c>
      <c r="C338" t="str">
        <f>IF(SessionMovements[[#This Row],[MovementID]]="","",
   _xlfn.XLOOKUP(SessionMovements[[#This Row],[MovementID]],MovementLibrary[MovementID],MovementLibrary[Name],"")
)</f>
        <v>Back Extension</v>
      </c>
      <c r="D338" s="5" t="str">
        <f>IF(SessionMovements[[#This Row],[MovementID]]="","",
   _xlfn.XLOOKUP(SessionMovements[[#This Row],[MovementID]], MovementLibrary[MovementID], MovementLibrary[Modality], "")
)</f>
        <v>Gymnastics</v>
      </c>
      <c r="E338" s="5" t="str">
        <f>IF(SessionMovements[[#This Row],[MovementID]]="","",
   _xlfn.XLOOKUP(SessionMovements[[#This Row],[MovementID]], MovementLibrary[MovementID], MovementLibrary[Unit], "")
)</f>
        <v>reps</v>
      </c>
      <c r="F3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38">
        <v>4</v>
      </c>
      <c r="H338">
        <v>8</v>
      </c>
      <c r="L338" s="5" t="str">
        <f>IF(COUNTIF(Sessions[SessionID],SessionMovements[[#This Row],[SessionID]])=0,"❌ Missing","✔ OK")</f>
        <v>✔ OK</v>
      </c>
    </row>
    <row r="339" spans="1:12" x14ac:dyDescent="0.3">
      <c r="A339" t="s">
        <v>997</v>
      </c>
      <c r="B339" t="s">
        <v>428</v>
      </c>
      <c r="C339" t="str">
        <f>IF(SessionMovements[[#This Row],[MovementID]]="","",
   _xlfn.XLOOKUP(SessionMovements[[#This Row],[MovementID]],MovementLibrary[MovementID],MovementLibrary[Name],"")
)</f>
        <v>AbMat Sit-Up</v>
      </c>
      <c r="D339" s="5" t="str">
        <f>IF(SessionMovements[[#This Row],[MovementID]]="","",
   _xlfn.XLOOKUP(SessionMovements[[#This Row],[MovementID]], MovementLibrary[MovementID], MovementLibrary[Modality], "")
)</f>
        <v>Gymnastics</v>
      </c>
      <c r="E339" s="5" t="str">
        <f>IF(SessionMovements[[#This Row],[MovementID]]="","",
   _xlfn.XLOOKUP(SessionMovements[[#This Row],[MovementID]], MovementLibrary[MovementID], MovementLibrary[Unit], "")
)</f>
        <v>reps</v>
      </c>
      <c r="F3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39" t="s">
        <v>977</v>
      </c>
      <c r="L339" s="5" t="str">
        <f>IF(COUNTIF(Sessions[SessionID],SessionMovements[[#This Row],[SessionID]])=0,"❌ Missing","✔ OK")</f>
        <v>✔ OK</v>
      </c>
    </row>
    <row r="340" spans="1:12" x14ac:dyDescent="0.3">
      <c r="A340" t="s">
        <v>998</v>
      </c>
      <c r="B340" t="s">
        <v>258</v>
      </c>
      <c r="C340" t="str">
        <f>IF(SessionMovements[[#This Row],[MovementID]]="","",
   _xlfn.XLOOKUP(SessionMovements[[#This Row],[MovementID]],MovementLibrary[MovementID],MovementLibrary[Name],"")
)</f>
        <v>Overhead Squat</v>
      </c>
      <c r="D340" s="5" t="str">
        <f>IF(SessionMovements[[#This Row],[MovementID]]="","",
   _xlfn.XLOOKUP(SessionMovements[[#This Row],[MovementID]], MovementLibrary[MovementID], MovementLibrary[Modality], "")
)</f>
        <v>Barbell</v>
      </c>
      <c r="E340" s="5" t="str">
        <f>IF(SessionMovements[[#This Row],[MovementID]]="","",
   _xlfn.XLOOKUP(SessionMovements[[#This Row],[MovementID]], MovementLibrary[MovementID], MovementLibrary[Unit], "")
)</f>
        <v>kg</v>
      </c>
      <c r="F3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0">
        <v>4</v>
      </c>
      <c r="H340">
        <v>6</v>
      </c>
      <c r="J340">
        <v>65</v>
      </c>
      <c r="L340" s="5" t="str">
        <f>IF(COUNTIF(Sessions[SessionID],SessionMovements[[#This Row],[SessionID]])=0,"❌ Missing","✔ OK")</f>
        <v>✔ OK</v>
      </c>
    </row>
    <row r="341" spans="1:12" x14ac:dyDescent="0.3">
      <c r="A341" t="s">
        <v>999</v>
      </c>
      <c r="B341" t="s">
        <v>296</v>
      </c>
      <c r="C341" t="str">
        <f>IF(SessionMovements[[#This Row],[MovementID]]="","",
   _xlfn.XLOOKUP(SessionMovements[[#This Row],[MovementID]],MovementLibrary[MovementID],MovementLibrary[Name],"")
)</f>
        <v>Front Squat</v>
      </c>
      <c r="D341" s="5" t="str">
        <f>IF(SessionMovements[[#This Row],[MovementID]]="","",
   _xlfn.XLOOKUP(SessionMovements[[#This Row],[MovementID]], MovementLibrary[MovementID], MovementLibrary[Modality], "")
)</f>
        <v>Barbell</v>
      </c>
      <c r="E341" s="5" t="str">
        <f>IF(SessionMovements[[#This Row],[MovementID]]="","",
   _xlfn.XLOOKUP(SessionMovements[[#This Row],[MovementID]], MovementLibrary[MovementID], MovementLibrary[Unit], "")
)</f>
        <v>kg</v>
      </c>
      <c r="F3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1">
        <v>3</v>
      </c>
      <c r="H341">
        <v>2</v>
      </c>
      <c r="J341">
        <v>60</v>
      </c>
      <c r="L341" s="5" t="str">
        <f>IF(COUNTIF(Sessions[SessionID],SessionMovements[[#This Row],[SessionID]])=0,"❌ Missing","✔ OK")</f>
        <v>✔ OK</v>
      </c>
    </row>
    <row r="342" spans="1:12" x14ac:dyDescent="0.3">
      <c r="A342" t="s">
        <v>1000</v>
      </c>
      <c r="B342" t="s">
        <v>258</v>
      </c>
      <c r="C342" t="str">
        <f>IF(SessionMovements[[#This Row],[MovementID]]="","",
   _xlfn.XLOOKUP(SessionMovements[[#This Row],[MovementID]],MovementLibrary[MovementID],MovementLibrary[Name],"")
)</f>
        <v>Overhead Squat</v>
      </c>
      <c r="D342" s="5" t="str">
        <f>IF(SessionMovements[[#This Row],[MovementID]]="","",
   _xlfn.XLOOKUP(SessionMovements[[#This Row],[MovementID]], MovementLibrary[MovementID], MovementLibrary[Modality], "")
)</f>
        <v>Barbell</v>
      </c>
      <c r="E342" s="5" t="str">
        <f>IF(SessionMovements[[#This Row],[MovementID]]="","",
   _xlfn.XLOOKUP(SessionMovements[[#This Row],[MovementID]], MovementLibrary[MovementID], MovementLibrary[Unit], "")
)</f>
        <v>kg</v>
      </c>
      <c r="F3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2">
        <v>3</v>
      </c>
      <c r="H342">
        <v>2</v>
      </c>
      <c r="J342">
        <v>60</v>
      </c>
      <c r="L342" s="5" t="str">
        <f>IF(COUNTIF(Sessions[SessionID],SessionMovements[[#This Row],[SessionID]])=0,"❌ Missing","✔ OK")</f>
        <v>✔ OK</v>
      </c>
    </row>
    <row r="343" spans="1:12" x14ac:dyDescent="0.3">
      <c r="A343" t="s">
        <v>1001</v>
      </c>
      <c r="B343" t="s">
        <v>296</v>
      </c>
      <c r="C343" t="str">
        <f>IF(SessionMovements[[#This Row],[MovementID]]="","",
   _xlfn.XLOOKUP(SessionMovements[[#This Row],[MovementID]],MovementLibrary[MovementID],MovementLibrary[Name],"")
)</f>
        <v>Front Squat</v>
      </c>
      <c r="D343" s="5" t="str">
        <f>IF(SessionMovements[[#This Row],[MovementID]]="","",
   _xlfn.XLOOKUP(SessionMovements[[#This Row],[MovementID]], MovementLibrary[MovementID], MovementLibrary[Modality], "")
)</f>
        <v>Barbell</v>
      </c>
      <c r="E343" s="5" t="str">
        <f>IF(SessionMovements[[#This Row],[MovementID]]="","",
   _xlfn.XLOOKUP(SessionMovements[[#This Row],[MovementID]], MovementLibrary[MovementID], MovementLibrary[Unit], "")
)</f>
        <v>kg</v>
      </c>
      <c r="F3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3">
        <v>4</v>
      </c>
      <c r="H343">
        <v>5</v>
      </c>
      <c r="J343">
        <v>65</v>
      </c>
      <c r="L343" s="5" t="str">
        <f>IF(COUNTIF(Sessions[SessionID],SessionMovements[[#This Row],[SessionID]])=0,"❌ Missing","✔ OK")</f>
        <v>✔ OK</v>
      </c>
    </row>
    <row r="344" spans="1:12" x14ac:dyDescent="0.3">
      <c r="A344" t="s">
        <v>1002</v>
      </c>
      <c r="B344" t="s">
        <v>258</v>
      </c>
      <c r="C344" t="str">
        <f>IF(SessionMovements[[#This Row],[MovementID]]="","",
   _xlfn.XLOOKUP(SessionMovements[[#This Row],[MovementID]],MovementLibrary[MovementID],MovementLibrary[Name],"")
)</f>
        <v>Overhead Squat</v>
      </c>
      <c r="D344" s="5" t="str">
        <f>IF(SessionMovements[[#This Row],[MovementID]]="","",
   _xlfn.XLOOKUP(SessionMovements[[#This Row],[MovementID]], MovementLibrary[MovementID], MovementLibrary[Modality], "")
)</f>
        <v>Barbell</v>
      </c>
      <c r="E344" s="5" t="str">
        <f>IF(SessionMovements[[#This Row],[MovementID]]="","",
   _xlfn.XLOOKUP(SessionMovements[[#This Row],[MovementID]], MovementLibrary[MovementID], MovementLibrary[Unit], "")
)</f>
        <v>kg</v>
      </c>
      <c r="F3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4">
        <v>3</v>
      </c>
      <c r="H344">
        <v>2</v>
      </c>
      <c r="J344">
        <v>60</v>
      </c>
      <c r="L344" s="5" t="str">
        <f>IF(COUNTIF(Sessions[SessionID],SessionMovements[[#This Row],[SessionID]])=0,"❌ Missing","✔ OK")</f>
        <v>✔ OK</v>
      </c>
    </row>
    <row r="345" spans="1:12" x14ac:dyDescent="0.3">
      <c r="A345" t="s">
        <v>1003</v>
      </c>
      <c r="B345" t="s">
        <v>258</v>
      </c>
      <c r="C345" t="str">
        <f>IF(SessionMovements[[#This Row],[MovementID]]="","",
   _xlfn.XLOOKUP(SessionMovements[[#This Row],[MovementID]],MovementLibrary[MovementID],MovementLibrary[Name],"")
)</f>
        <v>Overhead Squat</v>
      </c>
      <c r="D345" s="5" t="str">
        <f>IF(SessionMovements[[#This Row],[MovementID]]="","",
   _xlfn.XLOOKUP(SessionMovements[[#This Row],[MovementID]], MovementLibrary[MovementID], MovementLibrary[Modality], "")
)</f>
        <v>Barbell</v>
      </c>
      <c r="E345" s="5" t="str">
        <f>IF(SessionMovements[[#This Row],[MovementID]]="","",
   _xlfn.XLOOKUP(SessionMovements[[#This Row],[MovementID]], MovementLibrary[MovementID], MovementLibrary[Unit], "")
)</f>
        <v>kg</v>
      </c>
      <c r="F3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5">
        <v>3</v>
      </c>
      <c r="H345">
        <v>2</v>
      </c>
      <c r="J345">
        <v>65</v>
      </c>
      <c r="L345" s="5" t="str">
        <f>IF(COUNTIF(Sessions[SessionID],SessionMovements[[#This Row],[SessionID]])=0,"❌ Missing","✔ OK")</f>
        <v>✔ OK</v>
      </c>
    </row>
    <row r="346" spans="1:12" x14ac:dyDescent="0.3">
      <c r="A346" t="s">
        <v>1004</v>
      </c>
      <c r="B346" t="s">
        <v>258</v>
      </c>
      <c r="C346" t="str">
        <f>IF(SessionMovements[[#This Row],[MovementID]]="","",
   _xlfn.XLOOKUP(SessionMovements[[#This Row],[MovementID]],MovementLibrary[MovementID],MovementLibrary[Name],"")
)</f>
        <v>Overhead Squat</v>
      </c>
      <c r="D346" s="5" t="str">
        <f>IF(SessionMovements[[#This Row],[MovementID]]="","",
   _xlfn.XLOOKUP(SessionMovements[[#This Row],[MovementID]], MovementLibrary[MovementID], MovementLibrary[Modality], "")
)</f>
        <v>Barbell</v>
      </c>
      <c r="E346" s="5" t="str">
        <f>IF(SessionMovements[[#This Row],[MovementID]]="","",
   _xlfn.XLOOKUP(SessionMovements[[#This Row],[MovementID]], MovementLibrary[MovementID], MovementLibrary[Unit], "")
)</f>
        <v>kg</v>
      </c>
      <c r="F3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6">
        <v>6</v>
      </c>
      <c r="H346">
        <v>6</v>
      </c>
      <c r="J346">
        <v>70</v>
      </c>
      <c r="L346" s="5" t="str">
        <f>IF(COUNTIF(Sessions[SessionID],SessionMovements[[#This Row],[SessionID]])=0,"❌ Missing","✔ OK")</f>
        <v>✔ OK</v>
      </c>
    </row>
    <row r="347" spans="1:12" x14ac:dyDescent="0.3">
      <c r="A347" t="s">
        <v>1005</v>
      </c>
      <c r="B347" t="s">
        <v>296</v>
      </c>
      <c r="C347" t="str">
        <f>IF(SessionMovements[[#This Row],[MovementID]]="","",
   _xlfn.XLOOKUP(SessionMovements[[#This Row],[MovementID]],MovementLibrary[MovementID],MovementLibrary[Name],"")
)</f>
        <v>Front Squat</v>
      </c>
      <c r="D347" s="5" t="str">
        <f>IF(SessionMovements[[#This Row],[MovementID]]="","",
   _xlfn.XLOOKUP(SessionMovements[[#This Row],[MovementID]], MovementLibrary[MovementID], MovementLibrary[Modality], "")
)</f>
        <v>Barbell</v>
      </c>
      <c r="E347" s="5" t="str">
        <f>IF(SessionMovements[[#This Row],[MovementID]]="","",
   _xlfn.XLOOKUP(SessionMovements[[#This Row],[MovementID]], MovementLibrary[MovementID], MovementLibrary[Unit], "")
)</f>
        <v>kg</v>
      </c>
      <c r="F3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7">
        <v>3</v>
      </c>
      <c r="H347">
        <v>2</v>
      </c>
      <c r="J347">
        <v>60</v>
      </c>
      <c r="L347" s="5" t="str">
        <f>IF(COUNTIF(Sessions[SessionID],SessionMovements[[#This Row],[SessionID]])=0,"❌ Missing","✔ OK")</f>
        <v>✔ OK</v>
      </c>
    </row>
    <row r="348" spans="1:12" x14ac:dyDescent="0.3">
      <c r="A348" t="s">
        <v>1006</v>
      </c>
      <c r="B348" t="s">
        <v>258</v>
      </c>
      <c r="C348" t="str">
        <f>IF(SessionMovements[[#This Row],[MovementID]]="","",
   _xlfn.XLOOKUP(SessionMovements[[#This Row],[MovementID]],MovementLibrary[MovementID],MovementLibrary[Name],"")
)</f>
        <v>Overhead Squat</v>
      </c>
      <c r="D348" s="5" t="str">
        <f>IF(SessionMovements[[#This Row],[MovementID]]="","",
   _xlfn.XLOOKUP(SessionMovements[[#This Row],[MovementID]], MovementLibrary[MovementID], MovementLibrary[Modality], "")
)</f>
        <v>Barbell</v>
      </c>
      <c r="E348" s="5" t="str">
        <f>IF(SessionMovements[[#This Row],[MovementID]]="","",
   _xlfn.XLOOKUP(SessionMovements[[#This Row],[MovementID]], MovementLibrary[MovementID], MovementLibrary[Unit], "")
)</f>
        <v>kg</v>
      </c>
      <c r="F3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8">
        <v>3</v>
      </c>
      <c r="H348">
        <v>2</v>
      </c>
      <c r="J348">
        <v>60</v>
      </c>
      <c r="L348" s="5" t="str">
        <f>IF(COUNTIF(Sessions[SessionID],SessionMovements[[#This Row],[SessionID]])=0,"❌ Missing","✔ OK")</f>
        <v>✔ OK</v>
      </c>
    </row>
    <row r="349" spans="1:12" x14ac:dyDescent="0.3">
      <c r="A349" t="s">
        <v>1007</v>
      </c>
      <c r="B349" t="s">
        <v>296</v>
      </c>
      <c r="C349" t="str">
        <f>IF(SessionMovements[[#This Row],[MovementID]]="","",
   _xlfn.XLOOKUP(SessionMovements[[#This Row],[MovementID]],MovementLibrary[MovementID],MovementLibrary[Name],"")
)</f>
        <v>Front Squat</v>
      </c>
      <c r="D349" s="5" t="str">
        <f>IF(SessionMovements[[#This Row],[MovementID]]="","",
   _xlfn.XLOOKUP(SessionMovements[[#This Row],[MovementID]], MovementLibrary[MovementID], MovementLibrary[Modality], "")
)</f>
        <v>Barbell</v>
      </c>
      <c r="E349" s="5" t="str">
        <f>IF(SessionMovements[[#This Row],[MovementID]]="","",
   _xlfn.XLOOKUP(SessionMovements[[#This Row],[MovementID]], MovementLibrary[MovementID], MovementLibrary[Unit], "")
)</f>
        <v>kg</v>
      </c>
      <c r="F3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49">
        <v>6</v>
      </c>
      <c r="H349">
        <v>5</v>
      </c>
      <c r="J349">
        <v>70</v>
      </c>
      <c r="L349" s="5" t="str">
        <f>IF(COUNTIF(Sessions[SessionID],SessionMovements[[#This Row],[SessionID]])=0,"❌ Missing","✔ OK")</f>
        <v>✔ OK</v>
      </c>
    </row>
    <row r="350" spans="1:12" x14ac:dyDescent="0.3">
      <c r="A350" t="s">
        <v>1008</v>
      </c>
      <c r="B350" t="s">
        <v>258</v>
      </c>
      <c r="C350" t="str">
        <f>IF(SessionMovements[[#This Row],[MovementID]]="","",
   _xlfn.XLOOKUP(SessionMovements[[#This Row],[MovementID]],MovementLibrary[MovementID],MovementLibrary[Name],"")
)</f>
        <v>Overhead Squat</v>
      </c>
      <c r="D350" s="5" t="str">
        <f>IF(SessionMovements[[#This Row],[MovementID]]="","",
   _xlfn.XLOOKUP(SessionMovements[[#This Row],[MovementID]], MovementLibrary[MovementID], MovementLibrary[Modality], "")
)</f>
        <v>Barbell</v>
      </c>
      <c r="E350" s="5" t="str">
        <f>IF(SessionMovements[[#This Row],[MovementID]]="","",
   _xlfn.XLOOKUP(SessionMovements[[#This Row],[MovementID]], MovementLibrary[MovementID], MovementLibrary[Unit], "")
)</f>
        <v>kg</v>
      </c>
      <c r="F3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0">
        <v>3</v>
      </c>
      <c r="H350">
        <v>2</v>
      </c>
      <c r="J350">
        <v>60</v>
      </c>
      <c r="L350" s="5" t="str">
        <f>IF(COUNTIF(Sessions[SessionID],SessionMovements[[#This Row],[SessionID]])=0,"❌ Missing","✔ OK")</f>
        <v>✔ OK</v>
      </c>
    </row>
    <row r="351" spans="1:12" x14ac:dyDescent="0.3">
      <c r="A351" t="s">
        <v>1009</v>
      </c>
      <c r="B351" t="s">
        <v>258</v>
      </c>
      <c r="C351" t="str">
        <f>IF(SessionMovements[[#This Row],[MovementID]]="","",
   _xlfn.XLOOKUP(SessionMovements[[#This Row],[MovementID]],MovementLibrary[MovementID],MovementLibrary[Name],"")
)</f>
        <v>Overhead Squat</v>
      </c>
      <c r="D351" s="5" t="str">
        <f>IF(SessionMovements[[#This Row],[MovementID]]="","",
   _xlfn.XLOOKUP(SessionMovements[[#This Row],[MovementID]], MovementLibrary[MovementID], MovementLibrary[Modality], "")
)</f>
        <v>Barbell</v>
      </c>
      <c r="E351" s="5" t="str">
        <f>IF(SessionMovements[[#This Row],[MovementID]]="","",
   _xlfn.XLOOKUP(SessionMovements[[#This Row],[MovementID]], MovementLibrary[MovementID], MovementLibrary[Unit], "")
)</f>
        <v>kg</v>
      </c>
      <c r="F3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1">
        <v>3</v>
      </c>
      <c r="H351">
        <v>2</v>
      </c>
      <c r="J351">
        <v>70</v>
      </c>
      <c r="L351" s="5" t="str">
        <f>IF(COUNTIF(Sessions[SessionID],SessionMovements[[#This Row],[SessionID]])=0,"❌ Missing","✔ OK")</f>
        <v>✔ OK</v>
      </c>
    </row>
    <row r="352" spans="1:12" x14ac:dyDescent="0.3">
      <c r="A352" t="s">
        <v>1010</v>
      </c>
      <c r="B352" t="s">
        <v>258</v>
      </c>
      <c r="C352" t="str">
        <f>IF(SessionMovements[[#This Row],[MovementID]]="","",
   _xlfn.XLOOKUP(SessionMovements[[#This Row],[MovementID]],MovementLibrary[MovementID],MovementLibrary[Name],"")
)</f>
        <v>Overhead Squat</v>
      </c>
      <c r="D352" s="5" t="str">
        <f>IF(SessionMovements[[#This Row],[MovementID]]="","",
   _xlfn.XLOOKUP(SessionMovements[[#This Row],[MovementID]], MovementLibrary[MovementID], MovementLibrary[Modality], "")
)</f>
        <v>Barbell</v>
      </c>
      <c r="E352" s="5" t="str">
        <f>IF(SessionMovements[[#This Row],[MovementID]]="","",
   _xlfn.XLOOKUP(SessionMovements[[#This Row],[MovementID]], MovementLibrary[MovementID], MovementLibrary[Unit], "")
)</f>
        <v>kg</v>
      </c>
      <c r="F3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2">
        <v>8</v>
      </c>
      <c r="H352">
        <v>6</v>
      </c>
      <c r="J352">
        <v>70</v>
      </c>
      <c r="L352" s="5" t="str">
        <f>IF(COUNTIF(Sessions[SessionID],SessionMovements[[#This Row],[SessionID]])=0,"❌ Missing","✔ OK")</f>
        <v>✔ OK</v>
      </c>
    </row>
    <row r="353" spans="1:12" x14ac:dyDescent="0.3">
      <c r="A353" t="s">
        <v>1011</v>
      </c>
      <c r="B353" t="s">
        <v>296</v>
      </c>
      <c r="C353" t="str">
        <f>IF(SessionMovements[[#This Row],[MovementID]]="","",
   _xlfn.XLOOKUP(SessionMovements[[#This Row],[MovementID]],MovementLibrary[MovementID],MovementLibrary[Name],"")
)</f>
        <v>Front Squat</v>
      </c>
      <c r="D353" s="5" t="str">
        <f>IF(SessionMovements[[#This Row],[MovementID]]="","",
   _xlfn.XLOOKUP(SessionMovements[[#This Row],[MovementID]], MovementLibrary[MovementID], MovementLibrary[Modality], "")
)</f>
        <v>Barbell</v>
      </c>
      <c r="E353" s="5" t="str">
        <f>IF(SessionMovements[[#This Row],[MovementID]]="","",
   _xlfn.XLOOKUP(SessionMovements[[#This Row],[MovementID]], MovementLibrary[MovementID], MovementLibrary[Unit], "")
)</f>
        <v>kg</v>
      </c>
      <c r="F3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3">
        <v>3</v>
      </c>
      <c r="H353">
        <v>2</v>
      </c>
      <c r="J353">
        <v>60</v>
      </c>
      <c r="L353" s="5" t="str">
        <f>IF(COUNTIF(Sessions[SessionID],SessionMovements[[#This Row],[SessionID]])=0,"❌ Missing","✔ OK")</f>
        <v>✔ OK</v>
      </c>
    </row>
    <row r="354" spans="1:12" x14ac:dyDescent="0.3">
      <c r="A354" t="s">
        <v>1012</v>
      </c>
      <c r="B354" t="s">
        <v>258</v>
      </c>
      <c r="C354" t="str">
        <f>IF(SessionMovements[[#This Row],[MovementID]]="","",
   _xlfn.XLOOKUP(SessionMovements[[#This Row],[MovementID]],MovementLibrary[MovementID],MovementLibrary[Name],"")
)</f>
        <v>Overhead Squat</v>
      </c>
      <c r="D354" s="5" t="str">
        <f>IF(SessionMovements[[#This Row],[MovementID]]="","",
   _xlfn.XLOOKUP(SessionMovements[[#This Row],[MovementID]], MovementLibrary[MovementID], MovementLibrary[Modality], "")
)</f>
        <v>Barbell</v>
      </c>
      <c r="E354" s="5" t="str">
        <f>IF(SessionMovements[[#This Row],[MovementID]]="","",
   _xlfn.XLOOKUP(SessionMovements[[#This Row],[MovementID]], MovementLibrary[MovementID], MovementLibrary[Unit], "")
)</f>
        <v>kg</v>
      </c>
      <c r="F3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4">
        <v>3</v>
      </c>
      <c r="H354">
        <v>2</v>
      </c>
      <c r="J354">
        <v>60</v>
      </c>
      <c r="L354" s="5" t="str">
        <f>IF(COUNTIF(Sessions[SessionID],SessionMovements[[#This Row],[SessionID]])=0,"❌ Missing","✔ OK")</f>
        <v>✔ OK</v>
      </c>
    </row>
    <row r="355" spans="1:12" x14ac:dyDescent="0.3">
      <c r="A355" t="s">
        <v>1013</v>
      </c>
      <c r="B355" t="s">
        <v>296</v>
      </c>
      <c r="C355" t="str">
        <f>IF(SessionMovements[[#This Row],[MovementID]]="","",
   _xlfn.XLOOKUP(SessionMovements[[#This Row],[MovementID]],MovementLibrary[MovementID],MovementLibrary[Name],"")
)</f>
        <v>Front Squat</v>
      </c>
      <c r="D355" s="5" t="str">
        <f>IF(SessionMovements[[#This Row],[MovementID]]="","",
   _xlfn.XLOOKUP(SessionMovements[[#This Row],[MovementID]], MovementLibrary[MovementID], MovementLibrary[Modality], "")
)</f>
        <v>Barbell</v>
      </c>
      <c r="E355" s="5" t="str">
        <f>IF(SessionMovements[[#This Row],[MovementID]]="","",
   _xlfn.XLOOKUP(SessionMovements[[#This Row],[MovementID]], MovementLibrary[MovementID], MovementLibrary[Unit], "")
)</f>
        <v>kg</v>
      </c>
      <c r="F3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5">
        <v>8</v>
      </c>
      <c r="H355">
        <v>5</v>
      </c>
      <c r="J355">
        <v>70</v>
      </c>
      <c r="L355" s="5" t="str">
        <f>IF(COUNTIF(Sessions[SessionID],SessionMovements[[#This Row],[SessionID]])=0,"❌ Missing","✔ OK")</f>
        <v>✔ OK</v>
      </c>
    </row>
    <row r="356" spans="1:12" x14ac:dyDescent="0.3">
      <c r="A356" t="s">
        <v>1014</v>
      </c>
      <c r="B356" t="s">
        <v>258</v>
      </c>
      <c r="C356" t="str">
        <f>IF(SessionMovements[[#This Row],[MovementID]]="","",
   _xlfn.XLOOKUP(SessionMovements[[#This Row],[MovementID]],MovementLibrary[MovementID],MovementLibrary[Name],"")
)</f>
        <v>Overhead Squat</v>
      </c>
      <c r="D356" s="5" t="str">
        <f>IF(SessionMovements[[#This Row],[MovementID]]="","",
   _xlfn.XLOOKUP(SessionMovements[[#This Row],[MovementID]], MovementLibrary[MovementID], MovementLibrary[Modality], "")
)</f>
        <v>Barbell</v>
      </c>
      <c r="E356" s="5" t="str">
        <f>IF(SessionMovements[[#This Row],[MovementID]]="","",
   _xlfn.XLOOKUP(SessionMovements[[#This Row],[MovementID]], MovementLibrary[MovementID], MovementLibrary[Unit], "")
)</f>
        <v>kg</v>
      </c>
      <c r="F3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6">
        <v>3</v>
      </c>
      <c r="H356">
        <v>2</v>
      </c>
      <c r="J356">
        <v>60</v>
      </c>
      <c r="L356" s="5" t="str">
        <f>IF(COUNTIF(Sessions[SessionID],SessionMovements[[#This Row],[SessionID]])=0,"❌ Missing","✔ OK")</f>
        <v>✔ OK</v>
      </c>
    </row>
    <row r="357" spans="1:12" x14ac:dyDescent="0.3">
      <c r="A357" t="s">
        <v>1015</v>
      </c>
      <c r="B357" t="s">
        <v>258</v>
      </c>
      <c r="C357" t="str">
        <f>IF(SessionMovements[[#This Row],[MovementID]]="","",
   _xlfn.XLOOKUP(SessionMovements[[#This Row],[MovementID]],MovementLibrary[MovementID],MovementLibrary[Name],"")
)</f>
        <v>Overhead Squat</v>
      </c>
      <c r="D357" s="5" t="str">
        <f>IF(SessionMovements[[#This Row],[MovementID]]="","",
   _xlfn.XLOOKUP(SessionMovements[[#This Row],[MovementID]], MovementLibrary[MovementID], MovementLibrary[Modality], "")
)</f>
        <v>Barbell</v>
      </c>
      <c r="E357" s="5" t="str">
        <f>IF(SessionMovements[[#This Row],[MovementID]]="","",
   _xlfn.XLOOKUP(SessionMovements[[#This Row],[MovementID]], MovementLibrary[MovementID], MovementLibrary[Unit], "")
)</f>
        <v>kg</v>
      </c>
      <c r="F3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7">
        <v>3</v>
      </c>
      <c r="H357">
        <v>2</v>
      </c>
      <c r="J357">
        <v>70</v>
      </c>
      <c r="L357" s="5" t="str">
        <f>IF(COUNTIF(Sessions[SessionID],SessionMovements[[#This Row],[SessionID]])=0,"❌ Missing","✔ OK")</f>
        <v>✔ OK</v>
      </c>
    </row>
    <row r="358" spans="1:12" x14ac:dyDescent="0.3">
      <c r="A358" t="s">
        <v>1016</v>
      </c>
      <c r="B358" t="s">
        <v>258</v>
      </c>
      <c r="C358" t="str">
        <f>IF(SessionMovements[[#This Row],[MovementID]]="","",
   _xlfn.XLOOKUP(SessionMovements[[#This Row],[MovementID]],MovementLibrary[MovementID],MovementLibrary[Name],"")
)</f>
        <v>Overhead Squat</v>
      </c>
      <c r="D358" s="5" t="str">
        <f>IF(SessionMovements[[#This Row],[MovementID]]="","",
   _xlfn.XLOOKUP(SessionMovements[[#This Row],[MovementID]], MovementLibrary[MovementID], MovementLibrary[Modality], "")
)</f>
        <v>Barbell</v>
      </c>
      <c r="E358" s="5" t="str">
        <f>IF(SessionMovements[[#This Row],[MovementID]]="","",
   _xlfn.XLOOKUP(SessionMovements[[#This Row],[MovementID]], MovementLibrary[MovementID], MovementLibrary[Unit], "")
)</f>
        <v>kg</v>
      </c>
      <c r="F3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8">
        <v>10</v>
      </c>
      <c r="H358">
        <v>6</v>
      </c>
      <c r="J358">
        <v>70</v>
      </c>
      <c r="L358" s="5" t="str">
        <f>IF(COUNTIF(Sessions[SessionID],SessionMovements[[#This Row],[SessionID]])=0,"❌ Missing","✔ OK")</f>
        <v>✔ OK</v>
      </c>
    </row>
    <row r="359" spans="1:12" x14ac:dyDescent="0.3">
      <c r="A359" t="s">
        <v>1017</v>
      </c>
      <c r="B359" t="s">
        <v>296</v>
      </c>
      <c r="C359" t="str">
        <f>IF(SessionMovements[[#This Row],[MovementID]]="","",
   _xlfn.XLOOKUP(SessionMovements[[#This Row],[MovementID]],MovementLibrary[MovementID],MovementLibrary[Name],"")
)</f>
        <v>Front Squat</v>
      </c>
      <c r="D359" s="5" t="str">
        <f>IF(SessionMovements[[#This Row],[MovementID]]="","",
   _xlfn.XLOOKUP(SessionMovements[[#This Row],[MovementID]], MovementLibrary[MovementID], MovementLibrary[Modality], "")
)</f>
        <v>Barbell</v>
      </c>
      <c r="E359" s="5" t="str">
        <f>IF(SessionMovements[[#This Row],[MovementID]]="","",
   _xlfn.XLOOKUP(SessionMovements[[#This Row],[MovementID]], MovementLibrary[MovementID], MovementLibrary[Unit], "")
)</f>
        <v>kg</v>
      </c>
      <c r="F3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59">
        <v>3</v>
      </c>
      <c r="H359">
        <v>2</v>
      </c>
      <c r="J359">
        <v>60</v>
      </c>
      <c r="L359" s="5" t="str">
        <f>IF(COUNTIF(Sessions[SessionID],SessionMovements[[#This Row],[SessionID]])=0,"❌ Missing","✔ OK")</f>
        <v>✔ OK</v>
      </c>
    </row>
    <row r="360" spans="1:12" x14ac:dyDescent="0.3">
      <c r="A360" t="s">
        <v>1018</v>
      </c>
      <c r="B360" t="s">
        <v>258</v>
      </c>
      <c r="C360" t="str">
        <f>IF(SessionMovements[[#This Row],[MovementID]]="","",
   _xlfn.XLOOKUP(SessionMovements[[#This Row],[MovementID]],MovementLibrary[MovementID],MovementLibrary[Name],"")
)</f>
        <v>Overhead Squat</v>
      </c>
      <c r="D360" s="5" t="str">
        <f>IF(SessionMovements[[#This Row],[MovementID]]="","",
   _xlfn.XLOOKUP(SessionMovements[[#This Row],[MovementID]], MovementLibrary[MovementID], MovementLibrary[Modality], "")
)</f>
        <v>Barbell</v>
      </c>
      <c r="E360" s="5" t="str">
        <f>IF(SessionMovements[[#This Row],[MovementID]]="","",
   _xlfn.XLOOKUP(SessionMovements[[#This Row],[MovementID]], MovementLibrary[MovementID], MovementLibrary[Unit], "")
)</f>
        <v>kg</v>
      </c>
      <c r="F3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0">
        <v>3</v>
      </c>
      <c r="H360">
        <v>2</v>
      </c>
      <c r="J360">
        <v>60</v>
      </c>
      <c r="L360" s="5" t="str">
        <f>IF(COUNTIF(Sessions[SessionID],SessionMovements[[#This Row],[SessionID]])=0,"❌ Missing","✔ OK")</f>
        <v>✔ OK</v>
      </c>
    </row>
    <row r="361" spans="1:12" x14ac:dyDescent="0.3">
      <c r="A361" t="s">
        <v>1019</v>
      </c>
      <c r="B361" t="s">
        <v>296</v>
      </c>
      <c r="C361" t="str">
        <f>IF(SessionMovements[[#This Row],[MovementID]]="","",
   _xlfn.XLOOKUP(SessionMovements[[#This Row],[MovementID]],MovementLibrary[MovementID],MovementLibrary[Name],"")
)</f>
        <v>Front Squat</v>
      </c>
      <c r="D361" s="5" t="str">
        <f>IF(SessionMovements[[#This Row],[MovementID]]="","",
   _xlfn.XLOOKUP(SessionMovements[[#This Row],[MovementID]], MovementLibrary[MovementID], MovementLibrary[Modality], "")
)</f>
        <v>Barbell</v>
      </c>
      <c r="E361" s="5" t="str">
        <f>IF(SessionMovements[[#This Row],[MovementID]]="","",
   _xlfn.XLOOKUP(SessionMovements[[#This Row],[MovementID]], MovementLibrary[MovementID], MovementLibrary[Unit], "")
)</f>
        <v>kg</v>
      </c>
      <c r="F3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1">
        <v>10</v>
      </c>
      <c r="H361">
        <v>5</v>
      </c>
      <c r="J361">
        <v>70</v>
      </c>
      <c r="L361" s="5" t="str">
        <f>IF(COUNTIF(Sessions[SessionID],SessionMovements[[#This Row],[SessionID]])=0,"❌ Missing","✔ OK")</f>
        <v>✔ OK</v>
      </c>
    </row>
    <row r="362" spans="1:12" x14ac:dyDescent="0.3">
      <c r="A362" t="s">
        <v>1020</v>
      </c>
      <c r="B362" t="s">
        <v>258</v>
      </c>
      <c r="C362" t="str">
        <f>IF(SessionMovements[[#This Row],[MovementID]]="","",
   _xlfn.XLOOKUP(SessionMovements[[#This Row],[MovementID]],MovementLibrary[MovementID],MovementLibrary[Name],"")
)</f>
        <v>Overhead Squat</v>
      </c>
      <c r="D362" s="5" t="str">
        <f>IF(SessionMovements[[#This Row],[MovementID]]="","",
   _xlfn.XLOOKUP(SessionMovements[[#This Row],[MovementID]], MovementLibrary[MovementID], MovementLibrary[Modality], "")
)</f>
        <v>Barbell</v>
      </c>
      <c r="E362" s="5" t="str">
        <f>IF(SessionMovements[[#This Row],[MovementID]]="","",
   _xlfn.XLOOKUP(SessionMovements[[#This Row],[MovementID]], MovementLibrary[MovementID], MovementLibrary[Unit], "")
)</f>
        <v>kg</v>
      </c>
      <c r="F3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2">
        <v>3</v>
      </c>
      <c r="H362">
        <v>2</v>
      </c>
      <c r="J362">
        <v>60</v>
      </c>
      <c r="L362" s="5" t="str">
        <f>IF(COUNTIF(Sessions[SessionID],SessionMovements[[#This Row],[SessionID]])=0,"❌ Missing","✔ OK")</f>
        <v>✔ OK</v>
      </c>
    </row>
    <row r="363" spans="1:12" x14ac:dyDescent="0.3">
      <c r="A363" t="s">
        <v>1021</v>
      </c>
      <c r="B363" t="s">
        <v>258</v>
      </c>
      <c r="C363" t="str">
        <f>IF(SessionMovements[[#This Row],[MovementID]]="","",
   _xlfn.XLOOKUP(SessionMovements[[#This Row],[MovementID]],MovementLibrary[MovementID],MovementLibrary[Name],"")
)</f>
        <v>Overhead Squat</v>
      </c>
      <c r="D363" s="5" t="str">
        <f>IF(SessionMovements[[#This Row],[MovementID]]="","",
   _xlfn.XLOOKUP(SessionMovements[[#This Row],[MovementID]], MovementLibrary[MovementID], MovementLibrary[Modality], "")
)</f>
        <v>Barbell</v>
      </c>
      <c r="E363" s="5" t="str">
        <f>IF(SessionMovements[[#This Row],[MovementID]]="","",
   _xlfn.XLOOKUP(SessionMovements[[#This Row],[MovementID]], MovementLibrary[MovementID], MovementLibrary[Unit], "")
)</f>
        <v>kg</v>
      </c>
      <c r="F3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3">
        <v>3</v>
      </c>
      <c r="H363">
        <v>2</v>
      </c>
      <c r="J363">
        <v>70</v>
      </c>
      <c r="L363" s="5" t="str">
        <f>IF(COUNTIF(Sessions[SessionID],SessionMovements[[#This Row],[SessionID]])=0,"❌ Missing","✔ OK")</f>
        <v>✔ OK</v>
      </c>
    </row>
    <row r="364" spans="1:12" x14ac:dyDescent="0.3">
      <c r="A364" t="s">
        <v>1022</v>
      </c>
      <c r="B364" t="s">
        <v>258</v>
      </c>
      <c r="C364" t="str">
        <f>IF(SessionMovements[[#This Row],[MovementID]]="","",
   _xlfn.XLOOKUP(SessionMovements[[#This Row],[MovementID]],MovementLibrary[MovementID],MovementLibrary[Name],"")
)</f>
        <v>Overhead Squat</v>
      </c>
      <c r="D364" s="5" t="str">
        <f>IF(SessionMovements[[#This Row],[MovementID]]="","",
   _xlfn.XLOOKUP(SessionMovements[[#This Row],[MovementID]], MovementLibrary[MovementID], MovementLibrary[Modality], "")
)</f>
        <v>Barbell</v>
      </c>
      <c r="E364" s="5" t="str">
        <f>IF(SessionMovements[[#This Row],[MovementID]]="","",
   _xlfn.XLOOKUP(SessionMovements[[#This Row],[MovementID]], MovementLibrary[MovementID], MovementLibrary[Unit], "")
)</f>
        <v>kg</v>
      </c>
      <c r="F3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4">
        <v>8</v>
      </c>
      <c r="H364">
        <v>6</v>
      </c>
      <c r="J364">
        <v>75</v>
      </c>
      <c r="L364" s="5" t="str">
        <f>IF(COUNTIF(Sessions[SessionID],SessionMovements[[#This Row],[SessionID]])=0,"❌ Missing","✔ OK")</f>
        <v>✔ OK</v>
      </c>
    </row>
    <row r="365" spans="1:12" x14ac:dyDescent="0.3">
      <c r="A365" t="s">
        <v>1023</v>
      </c>
      <c r="B365" t="s">
        <v>296</v>
      </c>
      <c r="C365" t="str">
        <f>IF(SessionMovements[[#This Row],[MovementID]]="","",
   _xlfn.XLOOKUP(SessionMovements[[#This Row],[MovementID]],MovementLibrary[MovementID],MovementLibrary[Name],"")
)</f>
        <v>Front Squat</v>
      </c>
      <c r="D365" s="5" t="str">
        <f>IF(SessionMovements[[#This Row],[MovementID]]="","",
   _xlfn.XLOOKUP(SessionMovements[[#This Row],[MovementID]], MovementLibrary[MovementID], MovementLibrary[Modality], "")
)</f>
        <v>Barbell</v>
      </c>
      <c r="E365" s="5" t="str">
        <f>IF(SessionMovements[[#This Row],[MovementID]]="","",
   _xlfn.XLOOKUP(SessionMovements[[#This Row],[MovementID]], MovementLibrary[MovementID], MovementLibrary[Unit], "")
)</f>
        <v>kg</v>
      </c>
      <c r="F3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5">
        <v>3</v>
      </c>
      <c r="H365">
        <v>2</v>
      </c>
      <c r="J365">
        <v>60</v>
      </c>
      <c r="L365" s="5" t="str">
        <f>IF(COUNTIF(Sessions[SessionID],SessionMovements[[#This Row],[SessionID]])=0,"❌ Missing","✔ OK")</f>
        <v>✔ OK</v>
      </c>
    </row>
    <row r="366" spans="1:12" x14ac:dyDescent="0.3">
      <c r="A366" t="s">
        <v>1024</v>
      </c>
      <c r="B366" t="s">
        <v>258</v>
      </c>
      <c r="C366" t="str">
        <f>IF(SessionMovements[[#This Row],[MovementID]]="","",
   _xlfn.XLOOKUP(SessionMovements[[#This Row],[MovementID]],MovementLibrary[MovementID],MovementLibrary[Name],"")
)</f>
        <v>Overhead Squat</v>
      </c>
      <c r="D366" s="5" t="str">
        <f>IF(SessionMovements[[#This Row],[MovementID]]="","",
   _xlfn.XLOOKUP(SessionMovements[[#This Row],[MovementID]], MovementLibrary[MovementID], MovementLibrary[Modality], "")
)</f>
        <v>Barbell</v>
      </c>
      <c r="E366" s="5" t="str">
        <f>IF(SessionMovements[[#This Row],[MovementID]]="","",
   _xlfn.XLOOKUP(SessionMovements[[#This Row],[MovementID]], MovementLibrary[MovementID], MovementLibrary[Unit], "")
)</f>
        <v>kg</v>
      </c>
      <c r="F3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6">
        <v>3</v>
      </c>
      <c r="H366">
        <v>2</v>
      </c>
      <c r="J366">
        <v>60</v>
      </c>
      <c r="L366" s="5" t="str">
        <f>IF(COUNTIF(Sessions[SessionID],SessionMovements[[#This Row],[SessionID]])=0,"❌ Missing","✔ OK")</f>
        <v>✔ OK</v>
      </c>
    </row>
    <row r="367" spans="1:12" x14ac:dyDescent="0.3">
      <c r="A367" t="s">
        <v>1025</v>
      </c>
      <c r="B367" t="s">
        <v>296</v>
      </c>
      <c r="C367" t="str">
        <f>IF(SessionMovements[[#This Row],[MovementID]]="","",
   _xlfn.XLOOKUP(SessionMovements[[#This Row],[MovementID]],MovementLibrary[MovementID],MovementLibrary[Name],"")
)</f>
        <v>Front Squat</v>
      </c>
      <c r="D367" s="5" t="str">
        <f>IF(SessionMovements[[#This Row],[MovementID]]="","",
   _xlfn.XLOOKUP(SessionMovements[[#This Row],[MovementID]], MovementLibrary[MovementID], MovementLibrary[Modality], "")
)</f>
        <v>Barbell</v>
      </c>
      <c r="E367" s="5" t="str">
        <f>IF(SessionMovements[[#This Row],[MovementID]]="","",
   _xlfn.XLOOKUP(SessionMovements[[#This Row],[MovementID]], MovementLibrary[MovementID], MovementLibrary[Unit], "")
)</f>
        <v>kg</v>
      </c>
      <c r="F3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7">
        <v>8</v>
      </c>
      <c r="H367">
        <v>4</v>
      </c>
      <c r="J367">
        <v>75</v>
      </c>
      <c r="L367" s="5" t="str">
        <f>IF(COUNTIF(Sessions[SessionID],SessionMovements[[#This Row],[SessionID]])=0,"❌ Missing","✔ OK")</f>
        <v>✔ OK</v>
      </c>
    </row>
    <row r="368" spans="1:12" x14ac:dyDescent="0.3">
      <c r="A368" t="s">
        <v>1026</v>
      </c>
      <c r="B368" t="s">
        <v>258</v>
      </c>
      <c r="C368" t="str">
        <f>IF(SessionMovements[[#This Row],[MovementID]]="","",
   _xlfn.XLOOKUP(SessionMovements[[#This Row],[MovementID]],MovementLibrary[MovementID],MovementLibrary[Name],"")
)</f>
        <v>Overhead Squat</v>
      </c>
      <c r="D368" s="5" t="str">
        <f>IF(SessionMovements[[#This Row],[MovementID]]="","",
   _xlfn.XLOOKUP(SessionMovements[[#This Row],[MovementID]], MovementLibrary[MovementID], MovementLibrary[Modality], "")
)</f>
        <v>Barbell</v>
      </c>
      <c r="E368" s="5" t="str">
        <f>IF(SessionMovements[[#This Row],[MovementID]]="","",
   _xlfn.XLOOKUP(SessionMovements[[#This Row],[MovementID]], MovementLibrary[MovementID], MovementLibrary[Unit], "")
)</f>
        <v>kg</v>
      </c>
      <c r="F3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8">
        <v>3</v>
      </c>
      <c r="H368">
        <v>2</v>
      </c>
      <c r="J368">
        <v>60</v>
      </c>
      <c r="L368" s="5" t="str">
        <f>IF(COUNTIF(Sessions[SessionID],SessionMovements[[#This Row],[SessionID]])=0,"❌ Missing","✔ OK")</f>
        <v>✔ OK</v>
      </c>
    </row>
    <row r="369" spans="1:12" x14ac:dyDescent="0.3">
      <c r="A369" t="s">
        <v>1027</v>
      </c>
      <c r="B369" t="s">
        <v>258</v>
      </c>
      <c r="C369" t="str">
        <f>IF(SessionMovements[[#This Row],[MovementID]]="","",
   _xlfn.XLOOKUP(SessionMovements[[#This Row],[MovementID]],MovementLibrary[MovementID],MovementLibrary[Name],"")
)</f>
        <v>Overhead Squat</v>
      </c>
      <c r="D369" s="5" t="str">
        <f>IF(SessionMovements[[#This Row],[MovementID]]="","",
   _xlfn.XLOOKUP(SessionMovements[[#This Row],[MovementID]], MovementLibrary[MovementID], MovementLibrary[Modality], "")
)</f>
        <v>Barbell</v>
      </c>
      <c r="E369" s="5" t="str">
        <f>IF(SessionMovements[[#This Row],[MovementID]]="","",
   _xlfn.XLOOKUP(SessionMovements[[#This Row],[MovementID]], MovementLibrary[MovementID], MovementLibrary[Unit], "")
)</f>
        <v>kg</v>
      </c>
      <c r="F3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69">
        <v>3</v>
      </c>
      <c r="H369">
        <v>2</v>
      </c>
      <c r="J369">
        <v>70</v>
      </c>
      <c r="L369" s="5" t="str">
        <f>IF(COUNTIF(Sessions[SessionID],SessionMovements[[#This Row],[SessionID]])=0,"❌ Missing","✔ OK")</f>
        <v>✔ OK</v>
      </c>
    </row>
    <row r="370" spans="1:12" x14ac:dyDescent="0.3">
      <c r="A370" t="s">
        <v>1028</v>
      </c>
      <c r="B370" t="s">
        <v>258</v>
      </c>
      <c r="C370" t="str">
        <f>IF(SessionMovements[[#This Row],[MovementID]]="","",
   _xlfn.XLOOKUP(SessionMovements[[#This Row],[MovementID]],MovementLibrary[MovementID],MovementLibrary[Name],"")
)</f>
        <v>Overhead Squat</v>
      </c>
      <c r="D370" s="5" t="str">
        <f>IF(SessionMovements[[#This Row],[MovementID]]="","",
   _xlfn.XLOOKUP(SessionMovements[[#This Row],[MovementID]], MovementLibrary[MovementID], MovementLibrary[Modality], "")
)</f>
        <v>Barbell</v>
      </c>
      <c r="E370" s="5" t="str">
        <f>IF(SessionMovements[[#This Row],[MovementID]]="","",
   _xlfn.XLOOKUP(SessionMovements[[#This Row],[MovementID]], MovementLibrary[MovementID], MovementLibrary[Unit], "")
)</f>
        <v>kg</v>
      </c>
      <c r="F3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0">
        <v>6</v>
      </c>
      <c r="H370">
        <v>5</v>
      </c>
      <c r="J370">
        <v>80</v>
      </c>
      <c r="L370" s="5" t="str">
        <f>IF(COUNTIF(Sessions[SessionID],SessionMovements[[#This Row],[SessionID]])=0,"❌ Missing","✔ OK")</f>
        <v>✔ OK</v>
      </c>
    </row>
    <row r="371" spans="1:12" x14ac:dyDescent="0.3">
      <c r="A371" t="s">
        <v>1029</v>
      </c>
      <c r="B371" t="s">
        <v>296</v>
      </c>
      <c r="C371" t="str">
        <f>IF(SessionMovements[[#This Row],[MovementID]]="","",
   _xlfn.XLOOKUP(SessionMovements[[#This Row],[MovementID]],MovementLibrary[MovementID],MovementLibrary[Name],"")
)</f>
        <v>Front Squat</v>
      </c>
      <c r="D371" s="5" t="str">
        <f>IF(SessionMovements[[#This Row],[MovementID]]="","",
   _xlfn.XLOOKUP(SessionMovements[[#This Row],[MovementID]], MovementLibrary[MovementID], MovementLibrary[Modality], "")
)</f>
        <v>Barbell</v>
      </c>
      <c r="E371" s="5" t="str">
        <f>IF(SessionMovements[[#This Row],[MovementID]]="","",
   _xlfn.XLOOKUP(SessionMovements[[#This Row],[MovementID]], MovementLibrary[MovementID], MovementLibrary[Unit], "")
)</f>
        <v>kg</v>
      </c>
      <c r="F3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1">
        <v>3</v>
      </c>
      <c r="H371">
        <v>2</v>
      </c>
      <c r="J371">
        <v>60</v>
      </c>
      <c r="L371" s="5" t="str">
        <f>IF(COUNTIF(Sessions[SessionID],SessionMovements[[#This Row],[SessionID]])=0,"❌ Missing","✔ OK")</f>
        <v>✔ OK</v>
      </c>
    </row>
    <row r="372" spans="1:12" x14ac:dyDescent="0.3">
      <c r="A372" t="s">
        <v>1030</v>
      </c>
      <c r="B372" t="s">
        <v>258</v>
      </c>
      <c r="C372" t="str">
        <f>IF(SessionMovements[[#This Row],[MovementID]]="","",
   _xlfn.XLOOKUP(SessionMovements[[#This Row],[MovementID]],MovementLibrary[MovementID],MovementLibrary[Name],"")
)</f>
        <v>Overhead Squat</v>
      </c>
      <c r="D372" s="5" t="str">
        <f>IF(SessionMovements[[#This Row],[MovementID]]="","",
   _xlfn.XLOOKUP(SessionMovements[[#This Row],[MovementID]], MovementLibrary[MovementID], MovementLibrary[Modality], "")
)</f>
        <v>Barbell</v>
      </c>
      <c r="E372" s="5" t="str">
        <f>IF(SessionMovements[[#This Row],[MovementID]]="","",
   _xlfn.XLOOKUP(SessionMovements[[#This Row],[MovementID]], MovementLibrary[MovementID], MovementLibrary[Unit], "")
)</f>
        <v>kg</v>
      </c>
      <c r="F3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2">
        <v>3</v>
      </c>
      <c r="H372">
        <v>2</v>
      </c>
      <c r="J372">
        <v>60</v>
      </c>
      <c r="L372" s="5" t="str">
        <f>IF(COUNTIF(Sessions[SessionID],SessionMovements[[#This Row],[SessionID]])=0,"❌ Missing","✔ OK")</f>
        <v>✔ OK</v>
      </c>
    </row>
    <row r="373" spans="1:12" x14ac:dyDescent="0.3">
      <c r="A373" t="s">
        <v>1031</v>
      </c>
      <c r="B373" t="s">
        <v>296</v>
      </c>
      <c r="C373" t="str">
        <f>IF(SessionMovements[[#This Row],[MovementID]]="","",
   _xlfn.XLOOKUP(SessionMovements[[#This Row],[MovementID]],MovementLibrary[MovementID],MovementLibrary[Name],"")
)</f>
        <v>Front Squat</v>
      </c>
      <c r="D373" s="5" t="str">
        <f>IF(SessionMovements[[#This Row],[MovementID]]="","",
   _xlfn.XLOOKUP(SessionMovements[[#This Row],[MovementID]], MovementLibrary[MovementID], MovementLibrary[Modality], "")
)</f>
        <v>Barbell</v>
      </c>
      <c r="E373" s="5" t="str">
        <f>IF(SessionMovements[[#This Row],[MovementID]]="","",
   _xlfn.XLOOKUP(SessionMovements[[#This Row],[MovementID]], MovementLibrary[MovementID], MovementLibrary[Unit], "")
)</f>
        <v>kg</v>
      </c>
      <c r="F3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3">
        <v>6</v>
      </c>
      <c r="H373">
        <v>4</v>
      </c>
      <c r="J373">
        <v>78</v>
      </c>
      <c r="L373" s="5" t="str">
        <f>IF(COUNTIF(Sessions[SessionID],SessionMovements[[#This Row],[SessionID]])=0,"❌ Missing","✔ OK")</f>
        <v>✔ OK</v>
      </c>
    </row>
    <row r="374" spans="1:12" x14ac:dyDescent="0.3">
      <c r="A374" t="s">
        <v>1032</v>
      </c>
      <c r="B374" t="s">
        <v>258</v>
      </c>
      <c r="C374" t="str">
        <f>IF(SessionMovements[[#This Row],[MovementID]]="","",
   _xlfn.XLOOKUP(SessionMovements[[#This Row],[MovementID]],MovementLibrary[MovementID],MovementLibrary[Name],"")
)</f>
        <v>Overhead Squat</v>
      </c>
      <c r="D374" s="5" t="str">
        <f>IF(SessionMovements[[#This Row],[MovementID]]="","",
   _xlfn.XLOOKUP(SessionMovements[[#This Row],[MovementID]], MovementLibrary[MovementID], MovementLibrary[Modality], "")
)</f>
        <v>Barbell</v>
      </c>
      <c r="E374" s="5" t="str">
        <f>IF(SessionMovements[[#This Row],[MovementID]]="","",
   _xlfn.XLOOKUP(SessionMovements[[#This Row],[MovementID]], MovementLibrary[MovementID], MovementLibrary[Unit], "")
)</f>
        <v>kg</v>
      </c>
      <c r="F3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4">
        <v>3</v>
      </c>
      <c r="H374">
        <v>2</v>
      </c>
      <c r="J374">
        <v>60</v>
      </c>
      <c r="L374" s="5" t="str">
        <f>IF(COUNTIF(Sessions[SessionID],SessionMovements[[#This Row],[SessionID]])=0,"❌ Missing","✔ OK")</f>
        <v>✔ OK</v>
      </c>
    </row>
    <row r="375" spans="1:12" x14ac:dyDescent="0.3">
      <c r="A375" t="s">
        <v>1033</v>
      </c>
      <c r="B375" t="s">
        <v>258</v>
      </c>
      <c r="C375" t="str">
        <f>IF(SessionMovements[[#This Row],[MovementID]]="","",
   _xlfn.XLOOKUP(SessionMovements[[#This Row],[MovementID]],MovementLibrary[MovementID],MovementLibrary[Name],"")
)</f>
        <v>Overhead Squat</v>
      </c>
      <c r="D375" s="5" t="str">
        <f>IF(SessionMovements[[#This Row],[MovementID]]="","",
   _xlfn.XLOOKUP(SessionMovements[[#This Row],[MovementID]], MovementLibrary[MovementID], MovementLibrary[Modality], "")
)</f>
        <v>Barbell</v>
      </c>
      <c r="E375" s="5" t="str">
        <f>IF(SessionMovements[[#This Row],[MovementID]]="","",
   _xlfn.XLOOKUP(SessionMovements[[#This Row],[MovementID]], MovementLibrary[MovementID], MovementLibrary[Unit], "")
)</f>
        <v>kg</v>
      </c>
      <c r="F3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5">
        <v>3</v>
      </c>
      <c r="H375">
        <v>2</v>
      </c>
      <c r="J375">
        <v>70</v>
      </c>
      <c r="L375" s="5" t="str">
        <f>IF(COUNTIF(Sessions[SessionID],SessionMovements[[#This Row],[SessionID]])=0,"❌ Missing","✔ OK")</f>
        <v>✔ OK</v>
      </c>
    </row>
    <row r="376" spans="1:12" x14ac:dyDescent="0.3">
      <c r="A376" t="s">
        <v>1034</v>
      </c>
      <c r="B376" t="s">
        <v>258</v>
      </c>
      <c r="C376" t="str">
        <f>IF(SessionMovements[[#This Row],[MovementID]]="","",
   _xlfn.XLOOKUP(SessionMovements[[#This Row],[MovementID]],MovementLibrary[MovementID],MovementLibrary[Name],"")
)</f>
        <v>Overhead Squat</v>
      </c>
      <c r="D376" s="5" t="str">
        <f>IF(SessionMovements[[#This Row],[MovementID]]="","",
   _xlfn.XLOOKUP(SessionMovements[[#This Row],[MovementID]], MovementLibrary[MovementID], MovementLibrary[Modality], "")
)</f>
        <v>Barbell</v>
      </c>
      <c r="E376" s="5" t="str">
        <f>IF(SessionMovements[[#This Row],[MovementID]]="","",
   _xlfn.XLOOKUP(SessionMovements[[#This Row],[MovementID]], MovementLibrary[MovementID], MovementLibrary[Unit], "")
)</f>
        <v>kg</v>
      </c>
      <c r="F3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6">
        <v>4</v>
      </c>
      <c r="H376">
        <v>4</v>
      </c>
      <c r="J376">
        <v>85</v>
      </c>
      <c r="L376" s="5" t="str">
        <f>IF(COUNTIF(Sessions[SessionID],SessionMovements[[#This Row],[SessionID]])=0,"❌ Missing","✔ OK")</f>
        <v>✔ OK</v>
      </c>
    </row>
    <row r="377" spans="1:12" x14ac:dyDescent="0.3">
      <c r="A377" t="s">
        <v>1035</v>
      </c>
      <c r="B377" t="s">
        <v>296</v>
      </c>
      <c r="C377" t="str">
        <f>IF(SessionMovements[[#This Row],[MovementID]]="","",
   _xlfn.XLOOKUP(SessionMovements[[#This Row],[MovementID]],MovementLibrary[MovementID],MovementLibrary[Name],"")
)</f>
        <v>Front Squat</v>
      </c>
      <c r="D377" s="5" t="str">
        <f>IF(SessionMovements[[#This Row],[MovementID]]="","",
   _xlfn.XLOOKUP(SessionMovements[[#This Row],[MovementID]], MovementLibrary[MovementID], MovementLibrary[Modality], "")
)</f>
        <v>Barbell</v>
      </c>
      <c r="E377" s="5" t="str">
        <f>IF(SessionMovements[[#This Row],[MovementID]]="","",
   _xlfn.XLOOKUP(SessionMovements[[#This Row],[MovementID]], MovementLibrary[MovementID], MovementLibrary[Unit], "")
)</f>
        <v>kg</v>
      </c>
      <c r="F3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7">
        <v>3</v>
      </c>
      <c r="H377">
        <v>2</v>
      </c>
      <c r="J377">
        <v>60</v>
      </c>
      <c r="L377" s="5" t="str">
        <f>IF(COUNTIF(Sessions[SessionID],SessionMovements[[#This Row],[SessionID]])=0,"❌ Missing","✔ OK")</f>
        <v>✔ OK</v>
      </c>
    </row>
    <row r="378" spans="1:12" x14ac:dyDescent="0.3">
      <c r="A378" t="s">
        <v>1036</v>
      </c>
      <c r="B378" t="s">
        <v>258</v>
      </c>
      <c r="C378" t="str">
        <f>IF(SessionMovements[[#This Row],[MovementID]]="","",
   _xlfn.XLOOKUP(SessionMovements[[#This Row],[MovementID]],MovementLibrary[MovementID],MovementLibrary[Name],"")
)</f>
        <v>Overhead Squat</v>
      </c>
      <c r="D378" s="5" t="str">
        <f>IF(SessionMovements[[#This Row],[MovementID]]="","",
   _xlfn.XLOOKUP(SessionMovements[[#This Row],[MovementID]], MovementLibrary[MovementID], MovementLibrary[Modality], "")
)</f>
        <v>Barbell</v>
      </c>
      <c r="E378" s="5" t="str">
        <f>IF(SessionMovements[[#This Row],[MovementID]]="","",
   _xlfn.XLOOKUP(SessionMovements[[#This Row],[MovementID]], MovementLibrary[MovementID], MovementLibrary[Unit], "")
)</f>
        <v>kg</v>
      </c>
      <c r="F3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8">
        <v>3</v>
      </c>
      <c r="H378">
        <v>2</v>
      </c>
      <c r="J378">
        <v>60</v>
      </c>
      <c r="L378" s="5" t="str">
        <f>IF(COUNTIF(Sessions[SessionID],SessionMovements[[#This Row],[SessionID]])=0,"❌ Missing","✔ OK")</f>
        <v>✔ OK</v>
      </c>
    </row>
    <row r="379" spans="1:12" x14ac:dyDescent="0.3">
      <c r="A379" t="s">
        <v>1037</v>
      </c>
      <c r="B379" t="s">
        <v>296</v>
      </c>
      <c r="C379" t="str">
        <f>IF(SessionMovements[[#This Row],[MovementID]]="","",
   _xlfn.XLOOKUP(SessionMovements[[#This Row],[MovementID]],MovementLibrary[MovementID],MovementLibrary[Name],"")
)</f>
        <v>Front Squat</v>
      </c>
      <c r="D379" s="5" t="str">
        <f>IF(SessionMovements[[#This Row],[MovementID]]="","",
   _xlfn.XLOOKUP(SessionMovements[[#This Row],[MovementID]], MovementLibrary[MovementID], MovementLibrary[Modality], "")
)</f>
        <v>Barbell</v>
      </c>
      <c r="E379" s="5" t="str">
        <f>IF(SessionMovements[[#This Row],[MovementID]]="","",
   _xlfn.XLOOKUP(SessionMovements[[#This Row],[MovementID]], MovementLibrary[MovementID], MovementLibrary[Unit], "")
)</f>
        <v>kg</v>
      </c>
      <c r="F3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79">
        <v>4</v>
      </c>
      <c r="H379">
        <v>4</v>
      </c>
      <c r="J379">
        <v>81</v>
      </c>
      <c r="L379" s="5" t="str">
        <f>IF(COUNTIF(Sessions[SessionID],SessionMovements[[#This Row],[SessionID]])=0,"❌ Missing","✔ OK")</f>
        <v>✔ OK</v>
      </c>
    </row>
    <row r="380" spans="1:12" x14ac:dyDescent="0.3">
      <c r="A380" t="s">
        <v>1038</v>
      </c>
      <c r="B380" t="s">
        <v>258</v>
      </c>
      <c r="C380" t="str">
        <f>IF(SessionMovements[[#This Row],[MovementID]]="","",
   _xlfn.XLOOKUP(SessionMovements[[#This Row],[MovementID]],MovementLibrary[MovementID],MovementLibrary[Name],"")
)</f>
        <v>Overhead Squat</v>
      </c>
      <c r="D380" s="5" t="str">
        <f>IF(SessionMovements[[#This Row],[MovementID]]="","",
   _xlfn.XLOOKUP(SessionMovements[[#This Row],[MovementID]], MovementLibrary[MovementID], MovementLibrary[Modality], "")
)</f>
        <v>Barbell</v>
      </c>
      <c r="E380" s="5" t="str">
        <f>IF(SessionMovements[[#This Row],[MovementID]]="","",
   _xlfn.XLOOKUP(SessionMovements[[#This Row],[MovementID]], MovementLibrary[MovementID], MovementLibrary[Unit], "")
)</f>
        <v>kg</v>
      </c>
      <c r="F3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0">
        <v>3</v>
      </c>
      <c r="H380">
        <v>2</v>
      </c>
      <c r="J380">
        <v>60</v>
      </c>
      <c r="L380" s="5" t="str">
        <f>IF(COUNTIF(Sessions[SessionID],SessionMovements[[#This Row],[SessionID]])=0,"❌ Missing","✔ OK")</f>
        <v>✔ OK</v>
      </c>
    </row>
    <row r="381" spans="1:12" x14ac:dyDescent="0.3">
      <c r="A381" t="s">
        <v>1039</v>
      </c>
      <c r="B381" t="s">
        <v>258</v>
      </c>
      <c r="C381" t="str">
        <f>IF(SessionMovements[[#This Row],[MovementID]]="","",
   _xlfn.XLOOKUP(SessionMovements[[#This Row],[MovementID]],MovementLibrary[MovementID],MovementLibrary[Name],"")
)</f>
        <v>Overhead Squat</v>
      </c>
      <c r="D381" s="5" t="str">
        <f>IF(SessionMovements[[#This Row],[MovementID]]="","",
   _xlfn.XLOOKUP(SessionMovements[[#This Row],[MovementID]], MovementLibrary[MovementID], MovementLibrary[Modality], "")
)</f>
        <v>Barbell</v>
      </c>
      <c r="E381" s="5" t="str">
        <f>IF(SessionMovements[[#This Row],[MovementID]]="","",
   _xlfn.XLOOKUP(SessionMovements[[#This Row],[MovementID]], MovementLibrary[MovementID], MovementLibrary[Unit], "")
)</f>
        <v>kg</v>
      </c>
      <c r="F3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1">
        <v>3</v>
      </c>
      <c r="H381">
        <v>2</v>
      </c>
      <c r="J381">
        <v>70</v>
      </c>
      <c r="L381" s="5" t="str">
        <f>IF(COUNTIF(Sessions[SessionID],SessionMovements[[#This Row],[SessionID]])=0,"❌ Missing","✔ OK")</f>
        <v>✔ OK</v>
      </c>
    </row>
    <row r="382" spans="1:12" x14ac:dyDescent="0.3">
      <c r="A382" t="s">
        <v>1040</v>
      </c>
      <c r="B382" t="s">
        <v>258</v>
      </c>
      <c r="C382" t="str">
        <f>IF(SessionMovements[[#This Row],[MovementID]]="","",
   _xlfn.XLOOKUP(SessionMovements[[#This Row],[MovementID]],MovementLibrary[MovementID],MovementLibrary[Name],"")
)</f>
        <v>Overhead Squat</v>
      </c>
      <c r="D382" s="5" t="str">
        <f>IF(SessionMovements[[#This Row],[MovementID]]="","",
   _xlfn.XLOOKUP(SessionMovements[[#This Row],[MovementID]], MovementLibrary[MovementID], MovementLibrary[Modality], "")
)</f>
        <v>Barbell</v>
      </c>
      <c r="E382" s="5" t="str">
        <f>IF(SessionMovements[[#This Row],[MovementID]]="","",
   _xlfn.XLOOKUP(SessionMovements[[#This Row],[MovementID]], MovementLibrary[MovementID], MovementLibrary[Unit], "")
)</f>
        <v>kg</v>
      </c>
      <c r="F3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2">
        <v>3</v>
      </c>
      <c r="H382">
        <v>3</v>
      </c>
      <c r="J382">
        <v>90</v>
      </c>
      <c r="L382" s="5" t="str">
        <f>IF(COUNTIF(Sessions[SessionID],SessionMovements[[#This Row],[SessionID]])=0,"❌ Missing","✔ OK")</f>
        <v>✔ OK</v>
      </c>
    </row>
    <row r="383" spans="1:12" x14ac:dyDescent="0.3">
      <c r="A383" t="s">
        <v>1041</v>
      </c>
      <c r="B383" t="s">
        <v>296</v>
      </c>
      <c r="C383" t="str">
        <f>IF(SessionMovements[[#This Row],[MovementID]]="","",
   _xlfn.XLOOKUP(SessionMovements[[#This Row],[MovementID]],MovementLibrary[MovementID],MovementLibrary[Name],"")
)</f>
        <v>Front Squat</v>
      </c>
      <c r="D383" s="5" t="str">
        <f>IF(SessionMovements[[#This Row],[MovementID]]="","",
   _xlfn.XLOOKUP(SessionMovements[[#This Row],[MovementID]], MovementLibrary[MovementID], MovementLibrary[Modality], "")
)</f>
        <v>Barbell</v>
      </c>
      <c r="E383" s="5" t="str">
        <f>IF(SessionMovements[[#This Row],[MovementID]]="","",
   _xlfn.XLOOKUP(SessionMovements[[#This Row],[MovementID]], MovementLibrary[MovementID], MovementLibrary[Unit], "")
)</f>
        <v>kg</v>
      </c>
      <c r="F3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3">
        <v>3</v>
      </c>
      <c r="H383">
        <v>2</v>
      </c>
      <c r="J383">
        <v>60</v>
      </c>
      <c r="L383" s="5" t="str">
        <f>IF(COUNTIF(Sessions[SessionID],SessionMovements[[#This Row],[SessionID]])=0,"❌ Missing","✔ OK")</f>
        <v>✔ OK</v>
      </c>
    </row>
    <row r="384" spans="1:12" x14ac:dyDescent="0.3">
      <c r="A384" t="s">
        <v>1042</v>
      </c>
      <c r="B384" t="s">
        <v>258</v>
      </c>
      <c r="C384" t="str">
        <f>IF(SessionMovements[[#This Row],[MovementID]]="","",
   _xlfn.XLOOKUP(SessionMovements[[#This Row],[MovementID]],MovementLibrary[MovementID],MovementLibrary[Name],"")
)</f>
        <v>Overhead Squat</v>
      </c>
      <c r="D384" s="5" t="str">
        <f>IF(SessionMovements[[#This Row],[MovementID]]="","",
   _xlfn.XLOOKUP(SessionMovements[[#This Row],[MovementID]], MovementLibrary[MovementID], MovementLibrary[Modality], "")
)</f>
        <v>Barbell</v>
      </c>
      <c r="E384" s="5" t="str">
        <f>IF(SessionMovements[[#This Row],[MovementID]]="","",
   _xlfn.XLOOKUP(SessionMovements[[#This Row],[MovementID]], MovementLibrary[MovementID], MovementLibrary[Unit], "")
)</f>
        <v>kg</v>
      </c>
      <c r="F3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4">
        <v>3</v>
      </c>
      <c r="H384">
        <v>2</v>
      </c>
      <c r="J384">
        <v>60</v>
      </c>
      <c r="L384" s="5" t="str">
        <f>IF(COUNTIF(Sessions[SessionID],SessionMovements[[#This Row],[SessionID]])=0,"❌ Missing","✔ OK")</f>
        <v>✔ OK</v>
      </c>
    </row>
    <row r="385" spans="1:12" x14ac:dyDescent="0.3">
      <c r="A385" t="s">
        <v>1043</v>
      </c>
      <c r="B385" t="s">
        <v>296</v>
      </c>
      <c r="C385" t="str">
        <f>IF(SessionMovements[[#This Row],[MovementID]]="","",
   _xlfn.XLOOKUP(SessionMovements[[#This Row],[MovementID]],MovementLibrary[MovementID],MovementLibrary[Name],"")
)</f>
        <v>Front Squat</v>
      </c>
      <c r="D385" s="5" t="str">
        <f>IF(SessionMovements[[#This Row],[MovementID]]="","",
   _xlfn.XLOOKUP(SessionMovements[[#This Row],[MovementID]], MovementLibrary[MovementID], MovementLibrary[Modality], "")
)</f>
        <v>Barbell</v>
      </c>
      <c r="E385" s="5" t="str">
        <f>IF(SessionMovements[[#This Row],[MovementID]]="","",
   _xlfn.XLOOKUP(SessionMovements[[#This Row],[MovementID]], MovementLibrary[MovementID], MovementLibrary[Unit], "")
)</f>
        <v>kg</v>
      </c>
      <c r="F3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5">
        <v>3</v>
      </c>
      <c r="H385">
        <v>3</v>
      </c>
      <c r="J385">
        <v>84</v>
      </c>
      <c r="L385" s="5" t="str">
        <f>IF(COUNTIF(Sessions[SessionID],SessionMovements[[#This Row],[SessionID]])=0,"❌ Missing","✔ OK")</f>
        <v>✔ OK</v>
      </c>
    </row>
    <row r="386" spans="1:12" x14ac:dyDescent="0.3">
      <c r="A386" t="s">
        <v>1044</v>
      </c>
      <c r="B386" t="s">
        <v>258</v>
      </c>
      <c r="C386" t="str">
        <f>IF(SessionMovements[[#This Row],[MovementID]]="","",
   _xlfn.XLOOKUP(SessionMovements[[#This Row],[MovementID]],MovementLibrary[MovementID],MovementLibrary[Name],"")
)</f>
        <v>Overhead Squat</v>
      </c>
      <c r="D386" s="5" t="str">
        <f>IF(SessionMovements[[#This Row],[MovementID]]="","",
   _xlfn.XLOOKUP(SessionMovements[[#This Row],[MovementID]], MovementLibrary[MovementID], MovementLibrary[Modality], "")
)</f>
        <v>Barbell</v>
      </c>
      <c r="E386" s="5" t="str">
        <f>IF(SessionMovements[[#This Row],[MovementID]]="","",
   _xlfn.XLOOKUP(SessionMovements[[#This Row],[MovementID]], MovementLibrary[MovementID], MovementLibrary[Unit], "")
)</f>
        <v>kg</v>
      </c>
      <c r="F3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6">
        <v>3</v>
      </c>
      <c r="H386">
        <v>2</v>
      </c>
      <c r="J386">
        <v>60</v>
      </c>
      <c r="L386" s="5" t="str">
        <f>IF(COUNTIF(Sessions[SessionID],SessionMovements[[#This Row],[SessionID]])=0,"❌ Missing","✔ OK")</f>
        <v>✔ OK</v>
      </c>
    </row>
    <row r="387" spans="1:12" x14ac:dyDescent="0.3">
      <c r="A387" t="s">
        <v>1045</v>
      </c>
      <c r="B387" t="s">
        <v>258</v>
      </c>
      <c r="C387" t="str">
        <f>IF(SessionMovements[[#This Row],[MovementID]]="","",
   _xlfn.XLOOKUP(SessionMovements[[#This Row],[MovementID]],MovementLibrary[MovementID],MovementLibrary[Name],"")
)</f>
        <v>Overhead Squat</v>
      </c>
      <c r="D387" s="5" t="str">
        <f>IF(SessionMovements[[#This Row],[MovementID]]="","",
   _xlfn.XLOOKUP(SessionMovements[[#This Row],[MovementID]], MovementLibrary[MovementID], MovementLibrary[Modality], "")
)</f>
        <v>Barbell</v>
      </c>
      <c r="E387" s="5" t="str">
        <f>IF(SessionMovements[[#This Row],[MovementID]]="","",
   _xlfn.XLOOKUP(SessionMovements[[#This Row],[MovementID]], MovementLibrary[MovementID], MovementLibrary[Unit], "")
)</f>
        <v>kg</v>
      </c>
      <c r="F3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7">
        <v>3</v>
      </c>
      <c r="H387">
        <v>2</v>
      </c>
      <c r="J387">
        <v>70</v>
      </c>
      <c r="L387" s="5" t="str">
        <f>IF(COUNTIF(Sessions[SessionID],SessionMovements[[#This Row],[SessionID]])=0,"❌ Missing","✔ OK")</f>
        <v>✔ OK</v>
      </c>
    </row>
    <row r="388" spans="1:12" x14ac:dyDescent="0.3">
      <c r="A388" t="s">
        <v>1046</v>
      </c>
      <c r="B388" t="s">
        <v>258</v>
      </c>
      <c r="C388" t="str">
        <f>IF(SessionMovements[[#This Row],[MovementID]]="","",
   _xlfn.XLOOKUP(SessionMovements[[#This Row],[MovementID]],MovementLibrary[MovementID],MovementLibrary[Name],"")
)</f>
        <v>Overhead Squat</v>
      </c>
      <c r="D388" s="5" t="str">
        <f>IF(SessionMovements[[#This Row],[MovementID]]="","",
   _xlfn.XLOOKUP(SessionMovements[[#This Row],[MovementID]], MovementLibrary[MovementID], MovementLibrary[Modality], "")
)</f>
        <v>Barbell</v>
      </c>
      <c r="E388" s="5" t="str">
        <f>IF(SessionMovements[[#This Row],[MovementID]]="","",
   _xlfn.XLOOKUP(SessionMovements[[#This Row],[MovementID]], MovementLibrary[MovementID], MovementLibrary[Unit], "")
)</f>
        <v>kg</v>
      </c>
      <c r="F3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8">
        <v>2</v>
      </c>
      <c r="H388">
        <v>2</v>
      </c>
      <c r="J388">
        <v>95</v>
      </c>
      <c r="L388" s="5" t="str">
        <f>IF(COUNTIF(Sessions[SessionID],SessionMovements[[#This Row],[SessionID]])=0,"❌ Missing","✔ OK")</f>
        <v>✔ OK</v>
      </c>
    </row>
    <row r="389" spans="1:12" x14ac:dyDescent="0.3">
      <c r="A389" t="s">
        <v>1047</v>
      </c>
      <c r="B389" t="s">
        <v>296</v>
      </c>
      <c r="C389" t="str">
        <f>IF(SessionMovements[[#This Row],[MovementID]]="","",
   _xlfn.XLOOKUP(SessionMovements[[#This Row],[MovementID]],MovementLibrary[MovementID],MovementLibrary[Name],"")
)</f>
        <v>Front Squat</v>
      </c>
      <c r="D389" s="5" t="str">
        <f>IF(SessionMovements[[#This Row],[MovementID]]="","",
   _xlfn.XLOOKUP(SessionMovements[[#This Row],[MovementID]], MovementLibrary[MovementID], MovementLibrary[Modality], "")
)</f>
        <v>Barbell</v>
      </c>
      <c r="E389" s="5" t="str">
        <f>IF(SessionMovements[[#This Row],[MovementID]]="","",
   _xlfn.XLOOKUP(SessionMovements[[#This Row],[MovementID]], MovementLibrary[MovementID], MovementLibrary[Unit], "")
)</f>
        <v>kg</v>
      </c>
      <c r="F3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89">
        <v>3</v>
      </c>
      <c r="H389">
        <v>2</v>
      </c>
      <c r="J389">
        <v>60</v>
      </c>
      <c r="L389" s="5" t="str">
        <f>IF(COUNTIF(Sessions[SessionID],SessionMovements[[#This Row],[SessionID]])=0,"❌ Missing","✔ OK")</f>
        <v>✔ OK</v>
      </c>
    </row>
    <row r="390" spans="1:12" x14ac:dyDescent="0.3">
      <c r="A390" t="s">
        <v>1048</v>
      </c>
      <c r="B390" t="s">
        <v>258</v>
      </c>
      <c r="C390" t="str">
        <f>IF(SessionMovements[[#This Row],[MovementID]]="","",
   _xlfn.XLOOKUP(SessionMovements[[#This Row],[MovementID]],MovementLibrary[MovementID],MovementLibrary[Name],"")
)</f>
        <v>Overhead Squat</v>
      </c>
      <c r="D390" s="5" t="str">
        <f>IF(SessionMovements[[#This Row],[MovementID]]="","",
   _xlfn.XLOOKUP(SessionMovements[[#This Row],[MovementID]], MovementLibrary[MovementID], MovementLibrary[Modality], "")
)</f>
        <v>Barbell</v>
      </c>
      <c r="E390" s="5" t="str">
        <f>IF(SessionMovements[[#This Row],[MovementID]]="","",
   _xlfn.XLOOKUP(SessionMovements[[#This Row],[MovementID]], MovementLibrary[MovementID], MovementLibrary[Unit], "")
)</f>
        <v>kg</v>
      </c>
      <c r="F3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0">
        <v>2</v>
      </c>
      <c r="H390">
        <v>2</v>
      </c>
      <c r="J390">
        <v>87</v>
      </c>
      <c r="L390" s="5" t="str">
        <f>IF(COUNTIF(Sessions[SessionID],SessionMovements[[#This Row],[SessionID]])=0,"❌ Missing","✔ OK")</f>
        <v>✔ OK</v>
      </c>
    </row>
    <row r="391" spans="1:12" x14ac:dyDescent="0.3">
      <c r="A391" t="s">
        <v>1049</v>
      </c>
      <c r="B391" t="s">
        <v>296</v>
      </c>
      <c r="C391" t="str">
        <f>IF(SessionMovements[[#This Row],[MovementID]]="","",
   _xlfn.XLOOKUP(SessionMovements[[#This Row],[MovementID]],MovementLibrary[MovementID],MovementLibrary[Name],"")
)</f>
        <v>Front Squat</v>
      </c>
      <c r="D391" s="5" t="str">
        <f>IF(SessionMovements[[#This Row],[MovementID]]="","",
   _xlfn.XLOOKUP(SessionMovements[[#This Row],[MovementID]], MovementLibrary[MovementID], MovementLibrary[Modality], "")
)</f>
        <v>Barbell</v>
      </c>
      <c r="E391" s="5" t="str">
        <f>IF(SessionMovements[[#This Row],[MovementID]]="","",
   _xlfn.XLOOKUP(SessionMovements[[#This Row],[MovementID]], MovementLibrary[MovementID], MovementLibrary[Unit], "")
)</f>
        <v>kg</v>
      </c>
      <c r="F3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1">
        <v>3</v>
      </c>
      <c r="H391">
        <v>2</v>
      </c>
      <c r="J391">
        <v>60</v>
      </c>
      <c r="L391" s="5" t="str">
        <f>IF(COUNTIF(Sessions[SessionID],SessionMovements[[#This Row],[SessionID]])=0,"❌ Missing","✔ OK")</f>
        <v>✔ OK</v>
      </c>
    </row>
    <row r="392" spans="1:12" x14ac:dyDescent="0.3">
      <c r="A392" t="s">
        <v>1050</v>
      </c>
      <c r="B392" t="s">
        <v>258</v>
      </c>
      <c r="C392" t="str">
        <f>IF(SessionMovements[[#This Row],[MovementID]]="","",
   _xlfn.XLOOKUP(SessionMovements[[#This Row],[MovementID]],MovementLibrary[MovementID],MovementLibrary[Name],"")
)</f>
        <v>Overhead Squat</v>
      </c>
      <c r="D392" s="5" t="str">
        <f>IF(SessionMovements[[#This Row],[MovementID]]="","",
   _xlfn.XLOOKUP(SessionMovements[[#This Row],[MovementID]], MovementLibrary[MovementID], MovementLibrary[Modality], "")
)</f>
        <v>Barbell</v>
      </c>
      <c r="E392" s="5" t="str">
        <f>IF(SessionMovements[[#This Row],[MovementID]]="","",
   _xlfn.XLOOKUP(SessionMovements[[#This Row],[MovementID]], MovementLibrary[MovementID], MovementLibrary[Unit], "")
)</f>
        <v>kg</v>
      </c>
      <c r="F3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2">
        <v>3</v>
      </c>
      <c r="H392">
        <v>2</v>
      </c>
      <c r="J392">
        <v>60</v>
      </c>
      <c r="L392" s="5" t="str">
        <f>IF(COUNTIF(Sessions[SessionID],SessionMovements[[#This Row],[SessionID]])=0,"❌ Missing","✔ OK")</f>
        <v>✔ OK</v>
      </c>
    </row>
    <row r="393" spans="1:12" x14ac:dyDescent="0.3">
      <c r="A393" t="s">
        <v>1051</v>
      </c>
      <c r="B393" t="s">
        <v>258</v>
      </c>
      <c r="C393" t="str">
        <f>IF(SessionMovements[[#This Row],[MovementID]]="","",
   _xlfn.XLOOKUP(SessionMovements[[#This Row],[MovementID]],MovementLibrary[MovementID],MovementLibrary[Name],"")
)</f>
        <v>Overhead Squat</v>
      </c>
      <c r="D393" s="5" t="str">
        <f>IF(SessionMovements[[#This Row],[MovementID]]="","",
   _xlfn.XLOOKUP(SessionMovements[[#This Row],[MovementID]], MovementLibrary[MovementID], MovementLibrary[Modality], "")
)</f>
        <v>Barbell</v>
      </c>
      <c r="E393" s="5" t="str">
        <f>IF(SessionMovements[[#This Row],[MovementID]]="","",
   _xlfn.XLOOKUP(SessionMovements[[#This Row],[MovementID]], MovementLibrary[MovementID], MovementLibrary[Unit], "")
)</f>
        <v>kg</v>
      </c>
      <c r="F3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3">
        <v>3</v>
      </c>
      <c r="H393">
        <v>2</v>
      </c>
      <c r="J393">
        <v>70</v>
      </c>
      <c r="L393" s="5" t="str">
        <f>IF(COUNTIF(Sessions[SessionID],SessionMovements[[#This Row],[SessionID]])=0,"❌ Missing","✔ OK")</f>
        <v>✔ OK</v>
      </c>
    </row>
    <row r="394" spans="1:12" x14ac:dyDescent="0.3">
      <c r="A394" t="s">
        <v>1052</v>
      </c>
      <c r="B394" t="s">
        <v>258</v>
      </c>
      <c r="C394" t="str">
        <f>IF(SessionMovements[[#This Row],[MovementID]]="","",
   _xlfn.XLOOKUP(SessionMovements[[#This Row],[MovementID]],MovementLibrary[MovementID],MovementLibrary[Name],"")
)</f>
        <v>Overhead Squat</v>
      </c>
      <c r="D394" s="5" t="str">
        <f>IF(SessionMovements[[#This Row],[MovementID]]="","",
   _xlfn.XLOOKUP(SessionMovements[[#This Row],[MovementID]], MovementLibrary[MovementID], MovementLibrary[Modality], "")
)</f>
        <v>Barbell</v>
      </c>
      <c r="E394" s="5" t="str">
        <f>IF(SessionMovements[[#This Row],[MovementID]]="","",
   _xlfn.XLOOKUP(SessionMovements[[#This Row],[MovementID]], MovementLibrary[MovementID], MovementLibrary[Unit], "")
)</f>
        <v>kg</v>
      </c>
      <c r="F3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4">
        <v>2</v>
      </c>
      <c r="H394">
        <v>2</v>
      </c>
      <c r="J394">
        <v>50</v>
      </c>
      <c r="L394" s="5" t="str">
        <f>IF(COUNTIF(Sessions[SessionID],SessionMovements[[#This Row],[SessionID]])=0,"❌ Missing","✔ OK")</f>
        <v>✔ OK</v>
      </c>
    </row>
    <row r="395" spans="1:12" x14ac:dyDescent="0.3">
      <c r="A395" t="s">
        <v>1053</v>
      </c>
      <c r="B395" t="s">
        <v>296</v>
      </c>
      <c r="C395" t="str">
        <f>IF(SessionMovements[[#This Row],[MovementID]]="","",
   _xlfn.XLOOKUP(SessionMovements[[#This Row],[MovementID]],MovementLibrary[MovementID],MovementLibrary[Name],"")
)</f>
        <v>Front Squat</v>
      </c>
      <c r="D395" s="5" t="str">
        <f>IF(SessionMovements[[#This Row],[MovementID]]="","",
   _xlfn.XLOOKUP(SessionMovements[[#This Row],[MovementID]], MovementLibrary[MovementID], MovementLibrary[Modality], "")
)</f>
        <v>Barbell</v>
      </c>
      <c r="E395" s="5" t="str">
        <f>IF(SessionMovements[[#This Row],[MovementID]]="","",
   _xlfn.XLOOKUP(SessionMovements[[#This Row],[MovementID]], MovementLibrary[MovementID], MovementLibrary[Unit], "")
)</f>
        <v>kg</v>
      </c>
      <c r="F3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95" t="s">
        <v>1054</v>
      </c>
      <c r="L395" s="5" t="str">
        <f>IF(COUNTIF(Sessions[SessionID],SessionMovements[[#This Row],[SessionID]])=0,"❌ Missing","✔ OK")</f>
        <v>✔ OK</v>
      </c>
    </row>
    <row r="396" spans="1:12" x14ac:dyDescent="0.3">
      <c r="A396" t="s">
        <v>1055</v>
      </c>
      <c r="B396" t="s">
        <v>258</v>
      </c>
      <c r="C396" t="str">
        <f>IF(SessionMovements[[#This Row],[MovementID]]="","",
   _xlfn.XLOOKUP(SessionMovements[[#This Row],[MovementID]],MovementLibrary[MovementID],MovementLibrary[Name],"")
)</f>
        <v>Overhead Squat</v>
      </c>
      <c r="D396" s="5" t="str">
        <f>IF(SessionMovements[[#This Row],[MovementID]]="","",
   _xlfn.XLOOKUP(SessionMovements[[#This Row],[MovementID]], MovementLibrary[MovementID], MovementLibrary[Modality], "")
)</f>
        <v>Barbell</v>
      </c>
      <c r="E396" s="5" t="str">
        <f>IF(SessionMovements[[#This Row],[MovementID]]="","",
   _xlfn.XLOOKUP(SessionMovements[[#This Row],[MovementID]], MovementLibrary[MovementID], MovementLibrary[Unit], "")
)</f>
        <v>kg</v>
      </c>
      <c r="F3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6">
        <v>2</v>
      </c>
      <c r="H396">
        <v>2</v>
      </c>
      <c r="J396">
        <v>60</v>
      </c>
      <c r="L396" s="5" t="str">
        <f>IF(COUNTIF(Sessions[SessionID],SessionMovements[[#This Row],[SessionID]])=0,"❌ Missing","✔ OK")</f>
        <v>✔ OK</v>
      </c>
    </row>
    <row r="397" spans="1:12" x14ac:dyDescent="0.3">
      <c r="A397" t="s">
        <v>1056</v>
      </c>
      <c r="B397" t="s">
        <v>296</v>
      </c>
      <c r="C397" t="str">
        <f>IF(SessionMovements[[#This Row],[MovementID]]="","",
   _xlfn.XLOOKUP(SessionMovements[[#This Row],[MovementID]],MovementLibrary[MovementID],MovementLibrary[Name],"")
)</f>
        <v>Front Squat</v>
      </c>
      <c r="D397" s="5" t="str">
        <f>IF(SessionMovements[[#This Row],[MovementID]]="","",
   _xlfn.XLOOKUP(SessionMovements[[#This Row],[MovementID]], MovementLibrary[MovementID], MovementLibrary[Modality], "")
)</f>
        <v>Barbell</v>
      </c>
      <c r="E397" s="5" t="str">
        <f>IF(SessionMovements[[#This Row],[MovementID]]="","",
   _xlfn.XLOOKUP(SessionMovements[[#This Row],[MovementID]], MovementLibrary[MovementID], MovementLibrary[Unit], "")
)</f>
        <v>kg</v>
      </c>
      <c r="F3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7">
        <v>2</v>
      </c>
      <c r="H397">
        <v>1</v>
      </c>
      <c r="J397">
        <v>60</v>
      </c>
      <c r="L397" s="5" t="str">
        <f>IF(COUNTIF(Sessions[SessionID],SessionMovements[[#This Row],[SessionID]])=0,"❌ Missing","✔ OK")</f>
        <v>✔ OK</v>
      </c>
    </row>
    <row r="398" spans="1:12" x14ac:dyDescent="0.3">
      <c r="A398" t="s">
        <v>1057</v>
      </c>
      <c r="B398" t="s">
        <v>258</v>
      </c>
      <c r="C398" t="str">
        <f>IF(SessionMovements[[#This Row],[MovementID]]="","",
   _xlfn.XLOOKUP(SessionMovements[[#This Row],[MovementID]],MovementLibrary[MovementID],MovementLibrary[Name],"")
)</f>
        <v>Overhead Squat</v>
      </c>
      <c r="D398" s="5" t="str">
        <f>IF(SessionMovements[[#This Row],[MovementID]]="","",
   _xlfn.XLOOKUP(SessionMovements[[#This Row],[MovementID]], MovementLibrary[MovementID], MovementLibrary[Modality], "")
)</f>
        <v>Barbell</v>
      </c>
      <c r="E398" s="5" t="str">
        <f>IF(SessionMovements[[#This Row],[MovementID]]="","",
   _xlfn.XLOOKUP(SessionMovements[[#This Row],[MovementID]], MovementLibrary[MovementID], MovementLibrary[Unit], "")
)</f>
        <v>kg</v>
      </c>
      <c r="F3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398">
        <v>3</v>
      </c>
      <c r="H398">
        <v>1</v>
      </c>
      <c r="J398">
        <v>50</v>
      </c>
      <c r="L398" s="5" t="str">
        <f>IF(COUNTIF(Sessions[SessionID],SessionMovements[[#This Row],[SessionID]])=0,"❌ Missing","✔ OK")</f>
        <v>✔ OK</v>
      </c>
    </row>
    <row r="399" spans="1:12" x14ac:dyDescent="0.3">
      <c r="A399" t="s">
        <v>1058</v>
      </c>
      <c r="B399" t="s">
        <v>258</v>
      </c>
      <c r="C399" t="str">
        <f>IF(SessionMovements[[#This Row],[MovementID]]="","",
   _xlfn.XLOOKUP(SessionMovements[[#This Row],[MovementID]],MovementLibrary[MovementID],MovementLibrary[Name],"")
)</f>
        <v>Overhead Squat</v>
      </c>
      <c r="D399" s="5" t="str">
        <f>IF(SessionMovements[[#This Row],[MovementID]]="","",
   _xlfn.XLOOKUP(SessionMovements[[#This Row],[MovementID]], MovementLibrary[MovementID], MovementLibrary[Modality], "")
)</f>
        <v>Barbell</v>
      </c>
      <c r="E399" s="5" t="str">
        <f>IF(SessionMovements[[#This Row],[MovementID]]="","",
   _xlfn.XLOOKUP(SessionMovements[[#This Row],[MovementID]], MovementLibrary[MovementID], MovementLibrary[Unit], "")
)</f>
        <v>kg</v>
      </c>
      <c r="F3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399" t="s">
        <v>1054</v>
      </c>
      <c r="L399" s="5" t="str">
        <f>IF(COUNTIF(Sessions[SessionID],SessionMovements[[#This Row],[SessionID]])=0,"❌ Missing","✔ OK")</f>
        <v>✔ OK</v>
      </c>
    </row>
    <row r="400" spans="1:12" x14ac:dyDescent="0.3">
      <c r="A400" s="17" t="s">
        <v>1059</v>
      </c>
      <c r="B400" t="s">
        <v>394</v>
      </c>
      <c r="C400" t="str">
        <f>IF(SessionMovements[[#This Row],[MovementID]]="","",
   _xlfn.XLOOKUP(SessionMovements[[#This Row],[MovementID]],MovementLibrary[MovementID],MovementLibrary[Name],"")
)</f>
        <v>Chest-to-Bar Pull-Up</v>
      </c>
      <c r="D400" s="5" t="str">
        <f>IF(SessionMovements[[#This Row],[MovementID]]="","",
   _xlfn.XLOOKUP(SessionMovements[[#This Row],[MovementID]], MovementLibrary[MovementID], MovementLibrary[Modality], "")
)</f>
        <v>Gymnastics</v>
      </c>
      <c r="E400" s="5" t="str">
        <f>IF(SessionMovements[[#This Row],[MovementID]]="","",
   _xlfn.XLOOKUP(SessionMovements[[#This Row],[MovementID]], MovementLibrary[MovementID], MovementLibrary[Unit], "")
)</f>
        <v>reps</v>
      </c>
      <c r="F4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0">
        <v>6</v>
      </c>
      <c r="H400">
        <v>2</v>
      </c>
      <c r="K400" t="s">
        <v>1060</v>
      </c>
      <c r="L400" s="5" t="str">
        <f>IF(COUNTIF(Sessions[SessionID],SessionMovements[[#This Row],[SessionID]])=0,"❌ Missing","✔ OK")</f>
        <v>✔ OK</v>
      </c>
    </row>
    <row r="401" spans="1:12" x14ac:dyDescent="0.3">
      <c r="A401" s="17" t="s">
        <v>1059</v>
      </c>
      <c r="B401" t="s">
        <v>684</v>
      </c>
      <c r="C401" t="str">
        <f>IF(SessionMovements[[#This Row],[MovementID]]="","",
   _xlfn.XLOOKUP(SessionMovements[[#This Row],[MovementID]],MovementLibrary[MovementID],MovementLibrary[Name],"")
)</f>
        <v>Weighted Pull-Up</v>
      </c>
      <c r="D401" s="5" t="str">
        <f>IF(SessionMovements[[#This Row],[MovementID]]="","",
   _xlfn.XLOOKUP(SessionMovements[[#This Row],[MovementID]], MovementLibrary[MovementID], MovementLibrary[Modality], "")
)</f>
        <v>Gymnastics</v>
      </c>
      <c r="E401" s="5" t="str">
        <f>IF(SessionMovements[[#This Row],[MovementID]]="","",
   _xlfn.XLOOKUP(SessionMovements[[#This Row],[MovementID]], MovementLibrary[MovementID], MovementLibrary[Unit], "")
)</f>
        <v>kg</v>
      </c>
      <c r="F4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1">
        <v>4</v>
      </c>
      <c r="H401">
        <v>4</v>
      </c>
      <c r="K401" t="s">
        <v>1061</v>
      </c>
      <c r="L401" s="5" t="str">
        <f>IF(COUNTIF(Sessions[SessionID],SessionMovements[[#This Row],[SessionID]])=0,"❌ Missing","✔ OK")</f>
        <v>✔ OK</v>
      </c>
    </row>
    <row r="402" spans="1:12" x14ac:dyDescent="0.3">
      <c r="A402" s="17" t="s">
        <v>1059</v>
      </c>
      <c r="B402" t="s">
        <v>687</v>
      </c>
      <c r="C402" t="str">
        <f>IF(SessionMovements[[#This Row],[MovementID]]="","",
   _xlfn.XLOOKUP(SessionMovements[[#This Row],[MovementID]],MovementLibrary[MovementID],MovementLibrary[Name],"")
)</f>
        <v>Chest-to-Bar Hold</v>
      </c>
      <c r="D402" s="5" t="str">
        <f>IF(SessionMovements[[#This Row],[MovementID]]="","",
   _xlfn.XLOOKUP(SessionMovements[[#This Row],[MovementID]], MovementLibrary[MovementID], MovementLibrary[Modality], "")
)</f>
        <v>Gymnastics</v>
      </c>
      <c r="E402" s="5" t="str">
        <f>IF(SessionMovements[[#This Row],[MovementID]]="","",
   _xlfn.XLOOKUP(SessionMovements[[#This Row],[MovementID]], MovementLibrary[MovementID], MovementLibrary[Unit], "")
)</f>
        <v>sec</v>
      </c>
      <c r="F4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2">
        <v>3</v>
      </c>
      <c r="H402">
        <v>15</v>
      </c>
      <c r="K402" t="s">
        <v>1062</v>
      </c>
      <c r="L402" s="5" t="str">
        <f>IF(COUNTIF(Sessions[SessionID],SessionMovements[[#This Row],[SessionID]])=0,"❌ Missing","✔ OK")</f>
        <v>✔ OK</v>
      </c>
    </row>
    <row r="403" spans="1:12" x14ac:dyDescent="0.3">
      <c r="A403" s="17" t="s">
        <v>1059</v>
      </c>
      <c r="B403" t="s">
        <v>530</v>
      </c>
      <c r="C403" t="str">
        <f>IF(SessionMovements[[#This Row],[MovementID]]="","",
   _xlfn.XLOOKUP(SessionMovements[[#This Row],[MovementID]],MovementLibrary[MovementID],MovementLibrary[Name],"")
)</f>
        <v>Hollow Hold</v>
      </c>
      <c r="D403" s="5" t="str">
        <f>IF(SessionMovements[[#This Row],[MovementID]]="","",
   _xlfn.XLOOKUP(SessionMovements[[#This Row],[MovementID]], MovementLibrary[MovementID], MovementLibrary[Modality], "")
)</f>
        <v>Gymnastics</v>
      </c>
      <c r="E403" s="5" t="str">
        <f>IF(SessionMovements[[#This Row],[MovementID]]="","",
   _xlfn.XLOOKUP(SessionMovements[[#This Row],[MovementID]], MovementLibrary[MovementID], MovementLibrary[Unit], "")
)</f>
        <v>sec</v>
      </c>
      <c r="F4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3">
        <v>3</v>
      </c>
      <c r="H403" t="s">
        <v>1063</v>
      </c>
      <c r="K403" t="s">
        <v>1064</v>
      </c>
      <c r="L403" s="5" t="str">
        <f>IF(COUNTIF(Sessions[SessionID],SessionMovements[[#This Row],[SessionID]])=0,"❌ Missing","✔ OK")</f>
        <v>✔ OK</v>
      </c>
    </row>
    <row r="404" spans="1:12" x14ac:dyDescent="0.3">
      <c r="A404" s="17" t="s">
        <v>1059</v>
      </c>
      <c r="B404" t="s">
        <v>256</v>
      </c>
      <c r="C404" t="str">
        <f>IF(SessionMovements[[#This Row],[MovementID]]="","",
   _xlfn.XLOOKUP(SessionMovements[[#This Row],[MovementID]],MovementLibrary[MovementID],MovementLibrary[Name],"")
)</f>
        <v>Bench Press</v>
      </c>
      <c r="D404" s="5" t="str">
        <f>IF(SessionMovements[[#This Row],[MovementID]]="","",
   _xlfn.XLOOKUP(SessionMovements[[#This Row],[MovementID]], MovementLibrary[MovementID], MovementLibrary[Modality], "")
)</f>
        <v>Barbell</v>
      </c>
      <c r="E404" s="5" t="str">
        <f>IF(SessionMovements[[#This Row],[MovementID]]="","",
   _xlfn.XLOOKUP(SessionMovements[[#This Row],[MovementID]], MovementLibrary[MovementID], MovementLibrary[Unit], "")
)</f>
        <v>kg</v>
      </c>
      <c r="F4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4">
        <v>5</v>
      </c>
      <c r="H404">
        <v>5</v>
      </c>
      <c r="J404">
        <v>65</v>
      </c>
      <c r="K404" t="s">
        <v>1065</v>
      </c>
      <c r="L404" s="5" t="str">
        <f>IF(COUNTIF(Sessions[SessionID],SessionMovements[[#This Row],[SessionID]])=0,"❌ Missing","✔ OK")</f>
        <v>✔ OK</v>
      </c>
    </row>
    <row r="405" spans="1:12" x14ac:dyDescent="0.3">
      <c r="A405" s="17" t="s">
        <v>1059</v>
      </c>
      <c r="B405" t="s">
        <v>415</v>
      </c>
      <c r="C405" t="str">
        <f>IF(SessionMovements[[#This Row],[MovementID]]="","",
   _xlfn.XLOOKUP(SessionMovements[[#This Row],[MovementID]],MovementLibrary[MovementID],MovementLibrary[Name],"")
)</f>
        <v>Double-Unders</v>
      </c>
      <c r="D405" s="5" t="str">
        <f>IF(SessionMovements[[#This Row],[MovementID]]="","",
   _xlfn.XLOOKUP(SessionMovements[[#This Row],[MovementID]], MovementLibrary[MovementID], MovementLibrary[Modality], "")
)</f>
        <v>Gymnastics</v>
      </c>
      <c r="E405" s="5" t="str">
        <f>IF(SessionMovements[[#This Row],[MovementID]]="","",
   _xlfn.XLOOKUP(SessionMovements[[#This Row],[MovementID]], MovementLibrary[MovementID], MovementLibrary[Unit], "")
)</f>
        <v>reps</v>
      </c>
      <c r="F4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5" t="s">
        <v>885</v>
      </c>
      <c r="H405">
        <v>40</v>
      </c>
      <c r="L405" s="5" t="str">
        <f>IF(COUNTIF(Sessions[SessionID],SessionMovements[[#This Row],[SessionID]])=0,"❌ Missing","✔ OK")</f>
        <v>✔ OK</v>
      </c>
    </row>
    <row r="406" spans="1:12" x14ac:dyDescent="0.3">
      <c r="A406" s="17" t="s">
        <v>1066</v>
      </c>
      <c r="B406" t="s">
        <v>699</v>
      </c>
      <c r="C406" t="str">
        <f>IF(SessionMovements[[#This Row],[MovementID]]="","",
   _xlfn.XLOOKUP(SessionMovements[[#This Row],[MovementID]],MovementLibrary[MovementID],MovementLibrary[Name],"")
)</f>
        <v>Bar MU Transition – Foot/Box Assist</v>
      </c>
      <c r="D406" s="5" t="str">
        <f>IF(SessionMovements[[#This Row],[MovementID]]="","",
   _xlfn.XLOOKUP(SessionMovements[[#This Row],[MovementID]], MovementLibrary[MovementID], MovementLibrary[Modality], "")
)</f>
        <v>Gymnastics</v>
      </c>
      <c r="E406" s="5" t="str">
        <f>IF(SessionMovements[[#This Row],[MovementID]]="","",
   _xlfn.XLOOKUP(SessionMovements[[#This Row],[MovementID]], MovementLibrary[MovementID], MovementLibrary[Unit], "")
)</f>
        <v>reps</v>
      </c>
      <c r="F4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6">
        <v>6</v>
      </c>
      <c r="H406">
        <v>2</v>
      </c>
      <c r="K406" t="s">
        <v>1067</v>
      </c>
      <c r="L406" s="5" t="str">
        <f>IF(COUNTIF(Sessions[SessionID],SessionMovements[[#This Row],[SessionID]])=0,"❌ Missing","✔ OK")</f>
        <v>✔ OK</v>
      </c>
    </row>
    <row r="407" spans="1:12" x14ac:dyDescent="0.3">
      <c r="A407" s="17" t="s">
        <v>1066</v>
      </c>
      <c r="B407" t="s">
        <v>693</v>
      </c>
      <c r="C407" t="str">
        <f>IF(SessionMovements[[#This Row],[MovementID]]="","",
   _xlfn.XLOOKUP(SessionMovements[[#This Row],[MovementID]],MovementLibrary[MovementID],MovementLibrary[Name],"")
)</f>
        <v>Straight-Bar Dip</v>
      </c>
      <c r="D407" s="5" t="str">
        <f>IF(SessionMovements[[#This Row],[MovementID]]="","",
   _xlfn.XLOOKUP(SessionMovements[[#This Row],[MovementID]], MovementLibrary[MovementID], MovementLibrary[Modality], "")
)</f>
        <v>Gymnastics</v>
      </c>
      <c r="E407" s="5" t="str">
        <f>IF(SessionMovements[[#This Row],[MovementID]]="","",
   _xlfn.XLOOKUP(SessionMovements[[#This Row],[MovementID]], MovementLibrary[MovementID], MovementLibrary[Unit], "")
)</f>
        <v>reps</v>
      </c>
      <c r="F4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7">
        <v>5</v>
      </c>
      <c r="H407">
        <v>5</v>
      </c>
      <c r="K407" t="s">
        <v>1068</v>
      </c>
      <c r="L407" s="5" t="str">
        <f>IF(COUNTIF(Sessions[SessionID],SessionMovements[[#This Row],[SessionID]])=0,"❌ Missing","✔ OK")</f>
        <v>✔ OK</v>
      </c>
    </row>
    <row r="408" spans="1:12" x14ac:dyDescent="0.3">
      <c r="A408" s="17" t="s">
        <v>1066</v>
      </c>
      <c r="B408" t="s">
        <v>696</v>
      </c>
      <c r="C408" t="str">
        <f>IF(SessionMovements[[#This Row],[MovementID]]="","",
   _xlfn.XLOOKUP(SessionMovements[[#This Row],[MovementID]],MovementLibrary[MovementID],MovementLibrary[Name],"")
)</f>
        <v>Bar Top Support Hold</v>
      </c>
      <c r="D408" s="5" t="str">
        <f>IF(SessionMovements[[#This Row],[MovementID]]="","",
   _xlfn.XLOOKUP(SessionMovements[[#This Row],[MovementID]], MovementLibrary[MovementID], MovementLibrary[Modality], "")
)</f>
        <v>Gymnastics</v>
      </c>
      <c r="E408" s="5" t="str">
        <f>IF(SessionMovements[[#This Row],[MovementID]]="","",
   _xlfn.XLOOKUP(SessionMovements[[#This Row],[MovementID]], MovementLibrary[MovementID], MovementLibrary[Unit], "")
)</f>
        <v>sec</v>
      </c>
      <c r="F4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8">
        <v>3</v>
      </c>
      <c r="H408" t="s">
        <v>1063</v>
      </c>
      <c r="K408" t="s">
        <v>1069</v>
      </c>
      <c r="L408" s="5" t="str">
        <f>IF(COUNTIF(Sessions[SessionID],SessionMovements[[#This Row],[SessionID]])=0,"❌ Missing","✔ OK")</f>
        <v>✔ OK</v>
      </c>
    </row>
    <row r="409" spans="1:12" x14ac:dyDescent="0.3">
      <c r="A409" s="17" t="s">
        <v>1066</v>
      </c>
      <c r="B409" t="s">
        <v>702</v>
      </c>
      <c r="C409" t="str">
        <f>IF(SessionMovements[[#This Row],[MovementID]]="","",
   _xlfn.XLOOKUP(SessionMovements[[#This Row],[MovementID]],MovementLibrary[MovementID],MovementLibrary[Name],"")
)</f>
        <v>Bar MU Eccentric</v>
      </c>
      <c r="D409" s="5" t="str">
        <f>IF(SessionMovements[[#This Row],[MovementID]]="","",
   _xlfn.XLOOKUP(SessionMovements[[#This Row],[MovementID]], MovementLibrary[MovementID], MovementLibrary[Modality], "")
)</f>
        <v>Gymnastics</v>
      </c>
      <c r="E409" s="5" t="str">
        <f>IF(SessionMovements[[#This Row],[MovementID]]="","",
   _xlfn.XLOOKUP(SessionMovements[[#This Row],[MovementID]], MovementLibrary[MovementID], MovementLibrary[Unit], "")
)</f>
        <v>reps</v>
      </c>
      <c r="F4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09">
        <v>2</v>
      </c>
      <c r="H409">
        <v>2</v>
      </c>
      <c r="K409" t="s">
        <v>1070</v>
      </c>
      <c r="L409" s="5" t="str">
        <f>IF(COUNTIF(Sessions[SessionID],SessionMovements[[#This Row],[SessionID]])=0,"❌ Missing","✔ OK")</f>
        <v>✔ OK</v>
      </c>
    </row>
    <row r="410" spans="1:12" x14ac:dyDescent="0.3">
      <c r="A410" s="17" t="s">
        <v>1066</v>
      </c>
      <c r="B410" t="s">
        <v>420</v>
      </c>
      <c r="C410" t="str">
        <f>IF(SessionMovements[[#This Row],[MovementID]]="","",
   _xlfn.XLOOKUP(SessionMovements[[#This Row],[MovementID]],MovementLibrary[MovementID],MovementLibrary[Name],"")
)</f>
        <v>Burpee</v>
      </c>
      <c r="D410" s="5" t="str">
        <f>IF(SessionMovements[[#This Row],[MovementID]]="","",
   _xlfn.XLOOKUP(SessionMovements[[#This Row],[MovementID]], MovementLibrary[MovementID], MovementLibrary[Modality], "")
)</f>
        <v>Gymnastics</v>
      </c>
      <c r="E410" s="5" t="str">
        <f>IF(SessionMovements[[#This Row],[MovementID]]="","",
   _xlfn.XLOOKUP(SessionMovements[[#This Row],[MovementID]], MovementLibrary[MovementID], MovementLibrary[Unit], "")
)</f>
        <v>reps</v>
      </c>
      <c r="F4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0" t="s">
        <v>885</v>
      </c>
      <c r="H410">
        <v>8</v>
      </c>
      <c r="K410" t="s">
        <v>1071</v>
      </c>
      <c r="L410" s="5" t="str">
        <f>IF(COUNTIF(Sessions[SessionID],SessionMovements[[#This Row],[SessionID]])=0,"❌ Missing","✔ OK")</f>
        <v>✔ OK</v>
      </c>
    </row>
    <row r="411" spans="1:12" x14ac:dyDescent="0.3">
      <c r="A411" s="17" t="s">
        <v>1072</v>
      </c>
      <c r="B411" t="s">
        <v>394</v>
      </c>
      <c r="C411" t="str">
        <f>IF(SessionMovements[[#This Row],[MovementID]]="","",
   _xlfn.XLOOKUP(SessionMovements[[#This Row],[MovementID]],MovementLibrary[MovementID],MovementLibrary[Name],"")
)</f>
        <v>Chest-to-Bar Pull-Up</v>
      </c>
      <c r="D411" s="5" t="str">
        <f>IF(SessionMovements[[#This Row],[MovementID]]="","",
   _xlfn.XLOOKUP(SessionMovements[[#This Row],[MovementID]], MovementLibrary[MovementID], MovementLibrary[Modality], "")
)</f>
        <v>Gymnastics</v>
      </c>
      <c r="E411" s="5" t="str">
        <f>IF(SessionMovements[[#This Row],[MovementID]]="","",
   _xlfn.XLOOKUP(SessionMovements[[#This Row],[MovementID]], MovementLibrary[MovementID], MovementLibrary[Unit], "")
)</f>
        <v>reps</v>
      </c>
      <c r="F4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1">
        <v>5</v>
      </c>
      <c r="H411" t="s">
        <v>1073</v>
      </c>
      <c r="K411" t="s">
        <v>1074</v>
      </c>
      <c r="L411" s="5" t="str">
        <f>IF(COUNTIF(Sessions[SessionID],SessionMovements[[#This Row],[SessionID]])=0,"❌ Missing","✔ OK")</f>
        <v>✔ OK</v>
      </c>
    </row>
    <row r="412" spans="1:12" x14ac:dyDescent="0.3">
      <c r="A412" s="17" t="s">
        <v>1072</v>
      </c>
      <c r="B412" t="s">
        <v>687</v>
      </c>
      <c r="C412" t="str">
        <f>IF(SessionMovements[[#This Row],[MovementID]]="","",
   _xlfn.XLOOKUP(SessionMovements[[#This Row],[MovementID]],MovementLibrary[MovementID],MovementLibrary[Name],"")
)</f>
        <v>Chest-to-Bar Hold</v>
      </c>
      <c r="D412" s="5" t="str">
        <f>IF(SessionMovements[[#This Row],[MovementID]]="","",
   _xlfn.XLOOKUP(SessionMovements[[#This Row],[MovementID]], MovementLibrary[MovementID], MovementLibrary[Modality], "")
)</f>
        <v>Gymnastics</v>
      </c>
      <c r="E412" s="5" t="str">
        <f>IF(SessionMovements[[#This Row],[MovementID]]="","",
   _xlfn.XLOOKUP(SessionMovements[[#This Row],[MovementID]], MovementLibrary[MovementID], MovementLibrary[Unit], "")
)</f>
        <v>sec</v>
      </c>
      <c r="F4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2">
        <v>3</v>
      </c>
      <c r="H412">
        <v>15</v>
      </c>
      <c r="K412" t="s">
        <v>1075</v>
      </c>
      <c r="L412" s="5" t="str">
        <f>IF(COUNTIF(Sessions[SessionID],SessionMovements[[#This Row],[SessionID]])=0,"❌ Missing","✔ OK")</f>
        <v>✔ OK</v>
      </c>
    </row>
    <row r="413" spans="1:12" x14ac:dyDescent="0.3">
      <c r="A413" s="17" t="s">
        <v>1072</v>
      </c>
      <c r="B413" t="s">
        <v>690</v>
      </c>
      <c r="C413" t="str">
        <f>IF(SessionMovements[[#This Row],[MovementID]]="","",
   _xlfn.XLOOKUP(SessionMovements[[#This Row],[MovementID]],MovementLibrary[MovementID],MovementLibrary[Name],"")
)</f>
        <v>Chest-to-Bar Negative</v>
      </c>
      <c r="D413" s="5" t="str">
        <f>IF(SessionMovements[[#This Row],[MovementID]]="","",
   _xlfn.XLOOKUP(SessionMovements[[#This Row],[MovementID]], MovementLibrary[MovementID], MovementLibrary[Modality], "")
)</f>
        <v>Gymnastics</v>
      </c>
      <c r="E413" s="5" t="str">
        <f>IF(SessionMovements[[#This Row],[MovementID]]="","",
   _xlfn.XLOOKUP(SessionMovements[[#This Row],[MovementID]], MovementLibrary[MovementID], MovementLibrary[Unit], "")
)</f>
        <v>reps</v>
      </c>
      <c r="F4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3">
        <v>3</v>
      </c>
      <c r="H413">
        <v>5</v>
      </c>
      <c r="K413" t="s">
        <v>1076</v>
      </c>
      <c r="L413" s="5" t="str">
        <f>IF(COUNTIF(Sessions[SessionID],SessionMovements[[#This Row],[SessionID]])=0,"❌ Missing","✔ OK")</f>
        <v>✔ OK</v>
      </c>
    </row>
    <row r="414" spans="1:12" x14ac:dyDescent="0.3">
      <c r="A414" s="17" t="s">
        <v>1072</v>
      </c>
      <c r="B414" t="s">
        <v>527</v>
      </c>
      <c r="C414" t="str">
        <f>IF(SessionMovements[[#This Row],[MovementID]]="","",
   _xlfn.XLOOKUP(SessionMovements[[#This Row],[MovementID]],MovementLibrary[MovementID],MovementLibrary[Name],"")
)</f>
        <v>L-Sit Hold</v>
      </c>
      <c r="D414" s="5" t="str">
        <f>IF(SessionMovements[[#This Row],[MovementID]]="","",
   _xlfn.XLOOKUP(SessionMovements[[#This Row],[MovementID]], MovementLibrary[MovementID], MovementLibrary[Modality], "")
)</f>
        <v>Gymnastics</v>
      </c>
      <c r="E414" s="5" t="str">
        <f>IF(SessionMovements[[#This Row],[MovementID]]="","",
   _xlfn.XLOOKUP(SessionMovements[[#This Row],[MovementID]], MovementLibrary[MovementID], MovementLibrary[Unit], "")
)</f>
        <v>sec</v>
      </c>
      <c r="F4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4">
        <v>3</v>
      </c>
      <c r="H414" t="s">
        <v>1063</v>
      </c>
      <c r="K414" t="s">
        <v>529</v>
      </c>
      <c r="L414" s="5" t="str">
        <f>IF(COUNTIF(Sessions[SessionID],SessionMovements[[#This Row],[SessionID]])=0,"❌ Missing","✔ OK")</f>
        <v>✔ OK</v>
      </c>
    </row>
    <row r="415" spans="1:12" x14ac:dyDescent="0.3">
      <c r="A415" s="17" t="s">
        <v>1072</v>
      </c>
      <c r="B415" t="s">
        <v>256</v>
      </c>
      <c r="C415" t="str">
        <f>IF(SessionMovements[[#This Row],[MovementID]]="","",
   _xlfn.XLOOKUP(SessionMovements[[#This Row],[MovementID]],MovementLibrary[MovementID],MovementLibrary[Name],"")
)</f>
        <v>Bench Press</v>
      </c>
      <c r="D415" s="5" t="str">
        <f>IF(SessionMovements[[#This Row],[MovementID]]="","",
   _xlfn.XLOOKUP(SessionMovements[[#This Row],[MovementID]], MovementLibrary[MovementID], MovementLibrary[Modality], "")
)</f>
        <v>Barbell</v>
      </c>
      <c r="E415" s="5" t="str">
        <f>IF(SessionMovements[[#This Row],[MovementID]]="","",
   _xlfn.XLOOKUP(SessionMovements[[#This Row],[MovementID]], MovementLibrary[MovementID], MovementLibrary[Unit], "")
)</f>
        <v>kg</v>
      </c>
      <c r="F4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5">
        <v>3</v>
      </c>
      <c r="H415">
        <v>6</v>
      </c>
      <c r="J415">
        <v>65</v>
      </c>
      <c r="K415" t="s">
        <v>1077</v>
      </c>
      <c r="L415" s="5" t="str">
        <f>IF(COUNTIF(Sessions[SessionID],SessionMovements[[#This Row],[SessionID]])=0,"❌ Missing","✔ OK")</f>
        <v>✔ OK</v>
      </c>
    </row>
    <row r="416" spans="1:12" x14ac:dyDescent="0.3">
      <c r="A416" s="17" t="s">
        <v>1072</v>
      </c>
      <c r="B416" t="s">
        <v>400</v>
      </c>
      <c r="C416" t="str">
        <f>IF(SessionMovements[[#This Row],[MovementID]]="","",
   _xlfn.XLOOKUP(SessionMovements[[#This Row],[MovementID]],MovementLibrary[MovementID],MovementLibrary[Name],"")
)</f>
        <v>Toes-to-Bar</v>
      </c>
      <c r="D416" s="5" t="str">
        <f>IF(SessionMovements[[#This Row],[MovementID]]="","",
   _xlfn.XLOOKUP(SessionMovements[[#This Row],[MovementID]], MovementLibrary[MovementID], MovementLibrary[Modality], "")
)</f>
        <v>Gymnastics</v>
      </c>
      <c r="E416" s="5" t="str">
        <f>IF(SessionMovements[[#This Row],[MovementID]]="","",
   _xlfn.XLOOKUP(SessionMovements[[#This Row],[MovementID]], MovementLibrary[MovementID], MovementLibrary[Unit], "")
)</f>
        <v>reps</v>
      </c>
      <c r="F4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6" t="s">
        <v>885</v>
      </c>
      <c r="H416">
        <v>5</v>
      </c>
      <c r="L416" s="5" t="str">
        <f>IF(COUNTIF(Sessions[SessionID],SessionMovements[[#This Row],[SessionID]])=0,"❌ Missing","✔ OK")</f>
        <v>✔ OK</v>
      </c>
    </row>
    <row r="417" spans="1:12" x14ac:dyDescent="0.3">
      <c r="A417" s="17" t="s">
        <v>1078</v>
      </c>
      <c r="B417" t="s">
        <v>394</v>
      </c>
      <c r="C417" t="str">
        <f>IF(SessionMovements[[#This Row],[MovementID]]="","",
   _xlfn.XLOOKUP(SessionMovements[[#This Row],[MovementID]],MovementLibrary[MovementID],MovementLibrary[Name],"")
)</f>
        <v>Chest-to-Bar Pull-Up</v>
      </c>
      <c r="D417" s="5" t="str">
        <f>IF(SessionMovements[[#This Row],[MovementID]]="","",
   _xlfn.XLOOKUP(SessionMovements[[#This Row],[MovementID]], MovementLibrary[MovementID], MovementLibrary[Modality], "")
)</f>
        <v>Gymnastics</v>
      </c>
      <c r="E417" s="5" t="str">
        <f>IF(SessionMovements[[#This Row],[MovementID]]="","",
   _xlfn.XLOOKUP(SessionMovements[[#This Row],[MovementID]], MovementLibrary[MovementID], MovementLibrary[Unit], "")
)</f>
        <v>reps</v>
      </c>
      <c r="F4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7">
        <v>6</v>
      </c>
      <c r="H417">
        <v>2</v>
      </c>
      <c r="K417" t="s">
        <v>1060</v>
      </c>
      <c r="L417" s="5" t="str">
        <f>IF(COUNTIF(Sessions[SessionID],SessionMovements[[#This Row],[SessionID]])=0,"❌ Missing","✔ OK")</f>
        <v>✔ OK</v>
      </c>
    </row>
    <row r="418" spans="1:12" x14ac:dyDescent="0.3">
      <c r="A418" s="17" t="s">
        <v>1078</v>
      </c>
      <c r="B418" t="s">
        <v>684</v>
      </c>
      <c r="C418" t="str">
        <f>IF(SessionMovements[[#This Row],[MovementID]]="","",
   _xlfn.XLOOKUP(SessionMovements[[#This Row],[MovementID]],MovementLibrary[MovementID],MovementLibrary[Name],"")
)</f>
        <v>Weighted Pull-Up</v>
      </c>
      <c r="D418" s="5" t="str">
        <f>IF(SessionMovements[[#This Row],[MovementID]]="","",
   _xlfn.XLOOKUP(SessionMovements[[#This Row],[MovementID]], MovementLibrary[MovementID], MovementLibrary[Modality], "")
)</f>
        <v>Gymnastics</v>
      </c>
      <c r="E418" s="5" t="str">
        <f>IF(SessionMovements[[#This Row],[MovementID]]="","",
   _xlfn.XLOOKUP(SessionMovements[[#This Row],[MovementID]], MovementLibrary[MovementID], MovementLibrary[Unit], "")
)</f>
        <v>kg</v>
      </c>
      <c r="F4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8">
        <v>4</v>
      </c>
      <c r="H418">
        <v>4</v>
      </c>
      <c r="K418" t="s">
        <v>1061</v>
      </c>
      <c r="L418" s="5" t="str">
        <f>IF(COUNTIF(Sessions[SessionID],SessionMovements[[#This Row],[SessionID]])=0,"❌ Missing","✔ OK")</f>
        <v>✔ OK</v>
      </c>
    </row>
    <row r="419" spans="1:12" x14ac:dyDescent="0.3">
      <c r="A419" s="17" t="s">
        <v>1078</v>
      </c>
      <c r="B419" t="s">
        <v>687</v>
      </c>
      <c r="C419" t="str">
        <f>IF(SessionMovements[[#This Row],[MovementID]]="","",
   _xlfn.XLOOKUP(SessionMovements[[#This Row],[MovementID]],MovementLibrary[MovementID],MovementLibrary[Name],"")
)</f>
        <v>Chest-to-Bar Hold</v>
      </c>
      <c r="D419" s="5" t="str">
        <f>IF(SessionMovements[[#This Row],[MovementID]]="","",
   _xlfn.XLOOKUP(SessionMovements[[#This Row],[MovementID]], MovementLibrary[MovementID], MovementLibrary[Modality], "")
)</f>
        <v>Gymnastics</v>
      </c>
      <c r="E419" s="5" t="str">
        <f>IF(SessionMovements[[#This Row],[MovementID]]="","",
   _xlfn.XLOOKUP(SessionMovements[[#This Row],[MovementID]], MovementLibrary[MovementID], MovementLibrary[Unit], "")
)</f>
        <v>sec</v>
      </c>
      <c r="F4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19">
        <v>3</v>
      </c>
      <c r="H419">
        <v>15</v>
      </c>
      <c r="K419" t="s">
        <v>1062</v>
      </c>
      <c r="L419" s="5" t="str">
        <f>IF(COUNTIF(Sessions[SessionID],SessionMovements[[#This Row],[SessionID]])=0,"❌ Missing","✔ OK")</f>
        <v>✔ OK</v>
      </c>
    </row>
    <row r="420" spans="1:12" x14ac:dyDescent="0.3">
      <c r="A420" s="17" t="s">
        <v>1078</v>
      </c>
      <c r="B420" t="s">
        <v>530</v>
      </c>
      <c r="C420" t="str">
        <f>IF(SessionMovements[[#This Row],[MovementID]]="","",
   _xlfn.XLOOKUP(SessionMovements[[#This Row],[MovementID]],MovementLibrary[MovementID],MovementLibrary[Name],"")
)</f>
        <v>Hollow Hold</v>
      </c>
      <c r="D420" s="5" t="str">
        <f>IF(SessionMovements[[#This Row],[MovementID]]="","",
   _xlfn.XLOOKUP(SessionMovements[[#This Row],[MovementID]], MovementLibrary[MovementID], MovementLibrary[Modality], "")
)</f>
        <v>Gymnastics</v>
      </c>
      <c r="E420" s="5" t="str">
        <f>IF(SessionMovements[[#This Row],[MovementID]]="","",
   _xlfn.XLOOKUP(SessionMovements[[#This Row],[MovementID]], MovementLibrary[MovementID], MovementLibrary[Unit], "")
)</f>
        <v>sec</v>
      </c>
      <c r="F4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0">
        <v>3</v>
      </c>
      <c r="H420" t="s">
        <v>1063</v>
      </c>
      <c r="K420" t="s">
        <v>1064</v>
      </c>
      <c r="L420" s="5" t="str">
        <f>IF(COUNTIF(Sessions[SessionID],SessionMovements[[#This Row],[SessionID]])=0,"❌ Missing","✔ OK")</f>
        <v>✔ OK</v>
      </c>
    </row>
    <row r="421" spans="1:12" x14ac:dyDescent="0.3">
      <c r="A421" s="17" t="s">
        <v>1078</v>
      </c>
      <c r="B421" t="s">
        <v>256</v>
      </c>
      <c r="C421" t="str">
        <f>IF(SessionMovements[[#This Row],[MovementID]]="","",
   _xlfn.XLOOKUP(SessionMovements[[#This Row],[MovementID]],MovementLibrary[MovementID],MovementLibrary[Name],"")
)</f>
        <v>Bench Press</v>
      </c>
      <c r="D421" s="5" t="str">
        <f>IF(SessionMovements[[#This Row],[MovementID]]="","",
   _xlfn.XLOOKUP(SessionMovements[[#This Row],[MovementID]], MovementLibrary[MovementID], MovementLibrary[Modality], "")
)</f>
        <v>Barbell</v>
      </c>
      <c r="E421" s="5" t="str">
        <f>IF(SessionMovements[[#This Row],[MovementID]]="","",
   _xlfn.XLOOKUP(SessionMovements[[#This Row],[MovementID]], MovementLibrary[MovementID], MovementLibrary[Unit], "")
)</f>
        <v>kg</v>
      </c>
      <c r="F4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1">
        <v>5</v>
      </c>
      <c r="H421">
        <v>5</v>
      </c>
      <c r="J421">
        <v>70</v>
      </c>
      <c r="K421" t="s">
        <v>1065</v>
      </c>
      <c r="L421" s="5" t="str">
        <f>IF(COUNTIF(Sessions[SessionID],SessionMovements[[#This Row],[SessionID]])=0,"❌ Missing","✔ OK")</f>
        <v>✔ OK</v>
      </c>
    </row>
    <row r="422" spans="1:12" x14ac:dyDescent="0.3">
      <c r="A422" s="17" t="s">
        <v>1078</v>
      </c>
      <c r="B422" t="s">
        <v>275</v>
      </c>
      <c r="C422" t="str">
        <f>IF(SessionMovements[[#This Row],[MovementID]]="","",
   _xlfn.XLOOKUP(SessionMovements[[#This Row],[MovementID]],MovementLibrary[MovementID],MovementLibrary[Name],"")
)</f>
        <v>Power Snatch</v>
      </c>
      <c r="D422" s="5" t="str">
        <f>IF(SessionMovements[[#This Row],[MovementID]]="","",
   _xlfn.XLOOKUP(SessionMovements[[#This Row],[MovementID]], MovementLibrary[MovementID], MovementLibrary[Modality], "")
)</f>
        <v>Barbell</v>
      </c>
      <c r="E422" s="5" t="str">
        <f>IF(SessionMovements[[#This Row],[MovementID]]="","",
   _xlfn.XLOOKUP(SessionMovements[[#This Row],[MovementID]], MovementLibrary[MovementID], MovementLibrary[Unit], "")
)</f>
        <v>kg</v>
      </c>
      <c r="F4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2" t="s">
        <v>885</v>
      </c>
      <c r="H422">
        <v>3</v>
      </c>
      <c r="J422">
        <v>65</v>
      </c>
      <c r="K422" t="s">
        <v>1079</v>
      </c>
      <c r="L422" s="5" t="str">
        <f>IF(COUNTIF(Sessions[SessionID],SessionMovements[[#This Row],[SessionID]])=0,"❌ Missing","✔ OK")</f>
        <v>✔ OK</v>
      </c>
    </row>
    <row r="423" spans="1:12" x14ac:dyDescent="0.3">
      <c r="A423" s="17" t="s">
        <v>1080</v>
      </c>
      <c r="B423" t="s">
        <v>699</v>
      </c>
      <c r="C423" t="str">
        <f>IF(SessionMovements[[#This Row],[MovementID]]="","",
   _xlfn.XLOOKUP(SessionMovements[[#This Row],[MovementID]],MovementLibrary[MovementID],MovementLibrary[Name],"")
)</f>
        <v>Bar MU Transition – Foot/Box Assist</v>
      </c>
      <c r="D423" s="5" t="str">
        <f>IF(SessionMovements[[#This Row],[MovementID]]="","",
   _xlfn.XLOOKUP(SessionMovements[[#This Row],[MovementID]], MovementLibrary[MovementID], MovementLibrary[Modality], "")
)</f>
        <v>Gymnastics</v>
      </c>
      <c r="E423" s="5" t="str">
        <f>IF(SessionMovements[[#This Row],[MovementID]]="","",
   _xlfn.XLOOKUP(SessionMovements[[#This Row],[MovementID]], MovementLibrary[MovementID], MovementLibrary[Unit], "")
)</f>
        <v>reps</v>
      </c>
      <c r="F4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3">
        <v>6</v>
      </c>
      <c r="H423">
        <v>2</v>
      </c>
      <c r="K423" t="s">
        <v>1067</v>
      </c>
      <c r="L423" s="5" t="str">
        <f>IF(COUNTIF(Sessions[SessionID],SessionMovements[[#This Row],[SessionID]])=0,"❌ Missing","✔ OK")</f>
        <v>✔ OK</v>
      </c>
    </row>
    <row r="424" spans="1:12" x14ac:dyDescent="0.3">
      <c r="A424" s="17" t="s">
        <v>1080</v>
      </c>
      <c r="B424" t="s">
        <v>693</v>
      </c>
      <c r="C424" t="str">
        <f>IF(SessionMovements[[#This Row],[MovementID]]="","",
   _xlfn.XLOOKUP(SessionMovements[[#This Row],[MovementID]],MovementLibrary[MovementID],MovementLibrary[Name],"")
)</f>
        <v>Straight-Bar Dip</v>
      </c>
      <c r="D424" s="5" t="str">
        <f>IF(SessionMovements[[#This Row],[MovementID]]="","",
   _xlfn.XLOOKUP(SessionMovements[[#This Row],[MovementID]], MovementLibrary[MovementID], MovementLibrary[Modality], "")
)</f>
        <v>Gymnastics</v>
      </c>
      <c r="E424" s="5" t="str">
        <f>IF(SessionMovements[[#This Row],[MovementID]]="","",
   _xlfn.XLOOKUP(SessionMovements[[#This Row],[MovementID]], MovementLibrary[MovementID], MovementLibrary[Unit], "")
)</f>
        <v>reps</v>
      </c>
      <c r="F4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4">
        <v>5</v>
      </c>
      <c r="H424">
        <v>5</v>
      </c>
      <c r="K424" t="s">
        <v>1068</v>
      </c>
      <c r="L424" s="5" t="str">
        <f>IF(COUNTIF(Sessions[SessionID],SessionMovements[[#This Row],[SessionID]])=0,"❌ Missing","✔ OK")</f>
        <v>✔ OK</v>
      </c>
    </row>
    <row r="425" spans="1:12" x14ac:dyDescent="0.3">
      <c r="A425" s="17" t="s">
        <v>1080</v>
      </c>
      <c r="B425" t="s">
        <v>696</v>
      </c>
      <c r="C425" t="str">
        <f>IF(SessionMovements[[#This Row],[MovementID]]="","",
   _xlfn.XLOOKUP(SessionMovements[[#This Row],[MovementID]],MovementLibrary[MovementID],MovementLibrary[Name],"")
)</f>
        <v>Bar Top Support Hold</v>
      </c>
      <c r="D425" s="5" t="str">
        <f>IF(SessionMovements[[#This Row],[MovementID]]="","",
   _xlfn.XLOOKUP(SessionMovements[[#This Row],[MovementID]], MovementLibrary[MovementID], MovementLibrary[Modality], "")
)</f>
        <v>Gymnastics</v>
      </c>
      <c r="E425" s="5" t="str">
        <f>IF(SessionMovements[[#This Row],[MovementID]]="","",
   _xlfn.XLOOKUP(SessionMovements[[#This Row],[MovementID]], MovementLibrary[MovementID], MovementLibrary[Unit], "")
)</f>
        <v>sec</v>
      </c>
      <c r="F4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5">
        <v>3</v>
      </c>
      <c r="H425" t="s">
        <v>1063</v>
      </c>
      <c r="K425" t="s">
        <v>1069</v>
      </c>
      <c r="L425" s="5" t="str">
        <f>IF(COUNTIF(Sessions[SessionID],SessionMovements[[#This Row],[SessionID]])=0,"❌ Missing","✔ OK")</f>
        <v>✔ OK</v>
      </c>
    </row>
    <row r="426" spans="1:12" x14ac:dyDescent="0.3">
      <c r="A426" s="17" t="s">
        <v>1080</v>
      </c>
      <c r="B426" t="s">
        <v>702</v>
      </c>
      <c r="C426" t="str">
        <f>IF(SessionMovements[[#This Row],[MovementID]]="","",
   _xlfn.XLOOKUP(SessionMovements[[#This Row],[MovementID]],MovementLibrary[MovementID],MovementLibrary[Name],"")
)</f>
        <v>Bar MU Eccentric</v>
      </c>
      <c r="D426" s="5" t="str">
        <f>IF(SessionMovements[[#This Row],[MovementID]]="","",
   _xlfn.XLOOKUP(SessionMovements[[#This Row],[MovementID]], MovementLibrary[MovementID], MovementLibrary[Modality], "")
)</f>
        <v>Gymnastics</v>
      </c>
      <c r="E426" s="5" t="str">
        <f>IF(SessionMovements[[#This Row],[MovementID]]="","",
   _xlfn.XLOOKUP(SessionMovements[[#This Row],[MovementID]], MovementLibrary[MovementID], MovementLibrary[Unit], "")
)</f>
        <v>reps</v>
      </c>
      <c r="F4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6">
        <v>2</v>
      </c>
      <c r="H426">
        <v>2</v>
      </c>
      <c r="K426" t="s">
        <v>1070</v>
      </c>
      <c r="L426" s="5" t="str">
        <f>IF(COUNTIF(Sessions[SessionID],SessionMovements[[#This Row],[SessionID]])=0,"❌ Missing","✔ OK")</f>
        <v>✔ OK</v>
      </c>
    </row>
    <row r="427" spans="1:12" x14ac:dyDescent="0.3">
      <c r="A427" s="17" t="s">
        <v>1080</v>
      </c>
      <c r="B427" t="s">
        <v>420</v>
      </c>
      <c r="C427" t="str">
        <f>IF(SessionMovements[[#This Row],[MovementID]]="","",
   _xlfn.XLOOKUP(SessionMovements[[#This Row],[MovementID]],MovementLibrary[MovementID],MovementLibrary[Name],"")
)</f>
        <v>Burpee</v>
      </c>
      <c r="D427" s="5" t="str">
        <f>IF(SessionMovements[[#This Row],[MovementID]]="","",
   _xlfn.XLOOKUP(SessionMovements[[#This Row],[MovementID]], MovementLibrary[MovementID], MovementLibrary[Modality], "")
)</f>
        <v>Gymnastics</v>
      </c>
      <c r="E427" s="5" t="str">
        <f>IF(SessionMovements[[#This Row],[MovementID]]="","",
   _xlfn.XLOOKUP(SessionMovements[[#This Row],[MovementID]], MovementLibrary[MovementID], MovementLibrary[Unit], "")
)</f>
        <v>reps</v>
      </c>
      <c r="F4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7" t="s">
        <v>885</v>
      </c>
      <c r="H427">
        <v>8</v>
      </c>
      <c r="K427" t="s">
        <v>1081</v>
      </c>
      <c r="L427" s="5" t="str">
        <f>IF(COUNTIF(Sessions[SessionID],SessionMovements[[#This Row],[SessionID]])=0,"❌ Missing","✔ OK")</f>
        <v>✔ OK</v>
      </c>
    </row>
    <row r="428" spans="1:12" x14ac:dyDescent="0.3">
      <c r="A428" s="17" t="s">
        <v>1082</v>
      </c>
      <c r="B428" t="s">
        <v>394</v>
      </c>
      <c r="C428" t="str">
        <f>IF(SessionMovements[[#This Row],[MovementID]]="","",
   _xlfn.XLOOKUP(SessionMovements[[#This Row],[MovementID]],MovementLibrary[MovementID],MovementLibrary[Name],"")
)</f>
        <v>Chest-to-Bar Pull-Up</v>
      </c>
      <c r="D428" s="5" t="str">
        <f>IF(SessionMovements[[#This Row],[MovementID]]="","",
   _xlfn.XLOOKUP(SessionMovements[[#This Row],[MovementID]], MovementLibrary[MovementID], MovementLibrary[Modality], "")
)</f>
        <v>Gymnastics</v>
      </c>
      <c r="E428" s="5" t="str">
        <f>IF(SessionMovements[[#This Row],[MovementID]]="","",
   _xlfn.XLOOKUP(SessionMovements[[#This Row],[MovementID]], MovementLibrary[MovementID], MovementLibrary[Unit], "")
)</f>
        <v>reps</v>
      </c>
      <c r="F4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8">
        <v>5</v>
      </c>
      <c r="H428" t="s">
        <v>1073</v>
      </c>
      <c r="K428" t="s">
        <v>1074</v>
      </c>
      <c r="L428" s="5" t="str">
        <f>IF(COUNTIF(Sessions[SessionID],SessionMovements[[#This Row],[SessionID]])=0,"❌ Missing","✔ OK")</f>
        <v>✔ OK</v>
      </c>
    </row>
    <row r="429" spans="1:12" x14ac:dyDescent="0.3">
      <c r="A429" s="17" t="s">
        <v>1082</v>
      </c>
      <c r="B429" t="s">
        <v>687</v>
      </c>
      <c r="C429" t="str">
        <f>IF(SessionMovements[[#This Row],[MovementID]]="","",
   _xlfn.XLOOKUP(SessionMovements[[#This Row],[MovementID]],MovementLibrary[MovementID],MovementLibrary[Name],"")
)</f>
        <v>Chest-to-Bar Hold</v>
      </c>
      <c r="D429" s="5" t="str">
        <f>IF(SessionMovements[[#This Row],[MovementID]]="","",
   _xlfn.XLOOKUP(SessionMovements[[#This Row],[MovementID]], MovementLibrary[MovementID], MovementLibrary[Modality], "")
)</f>
        <v>Gymnastics</v>
      </c>
      <c r="E429" s="5" t="str">
        <f>IF(SessionMovements[[#This Row],[MovementID]]="","",
   _xlfn.XLOOKUP(SessionMovements[[#This Row],[MovementID]], MovementLibrary[MovementID], MovementLibrary[Unit], "")
)</f>
        <v>sec</v>
      </c>
      <c r="F4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29">
        <v>3</v>
      </c>
      <c r="H429">
        <v>15</v>
      </c>
      <c r="K429" t="s">
        <v>1075</v>
      </c>
      <c r="L429" s="5" t="str">
        <f>IF(COUNTIF(Sessions[SessionID],SessionMovements[[#This Row],[SessionID]])=0,"❌ Missing","✔ OK")</f>
        <v>✔ OK</v>
      </c>
    </row>
    <row r="430" spans="1:12" x14ac:dyDescent="0.3">
      <c r="A430" s="17" t="s">
        <v>1082</v>
      </c>
      <c r="B430" t="s">
        <v>690</v>
      </c>
      <c r="C430" t="str">
        <f>IF(SessionMovements[[#This Row],[MovementID]]="","",
   _xlfn.XLOOKUP(SessionMovements[[#This Row],[MovementID]],MovementLibrary[MovementID],MovementLibrary[Name],"")
)</f>
        <v>Chest-to-Bar Negative</v>
      </c>
      <c r="D430" s="5" t="str">
        <f>IF(SessionMovements[[#This Row],[MovementID]]="","",
   _xlfn.XLOOKUP(SessionMovements[[#This Row],[MovementID]], MovementLibrary[MovementID], MovementLibrary[Modality], "")
)</f>
        <v>Gymnastics</v>
      </c>
      <c r="E430" s="5" t="str">
        <f>IF(SessionMovements[[#This Row],[MovementID]]="","",
   _xlfn.XLOOKUP(SessionMovements[[#This Row],[MovementID]], MovementLibrary[MovementID], MovementLibrary[Unit], "")
)</f>
        <v>reps</v>
      </c>
      <c r="F4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0">
        <v>3</v>
      </c>
      <c r="H430">
        <v>5</v>
      </c>
      <c r="K430" t="s">
        <v>1076</v>
      </c>
      <c r="L430" s="5" t="str">
        <f>IF(COUNTIF(Sessions[SessionID],SessionMovements[[#This Row],[SessionID]])=0,"❌ Missing","✔ OK")</f>
        <v>✔ OK</v>
      </c>
    </row>
    <row r="431" spans="1:12" x14ac:dyDescent="0.3">
      <c r="A431" s="17" t="s">
        <v>1082</v>
      </c>
      <c r="B431" t="s">
        <v>527</v>
      </c>
      <c r="C431" t="str">
        <f>IF(SessionMovements[[#This Row],[MovementID]]="","",
   _xlfn.XLOOKUP(SessionMovements[[#This Row],[MovementID]],MovementLibrary[MovementID],MovementLibrary[Name],"")
)</f>
        <v>L-Sit Hold</v>
      </c>
      <c r="D431" s="5" t="str">
        <f>IF(SessionMovements[[#This Row],[MovementID]]="","",
   _xlfn.XLOOKUP(SessionMovements[[#This Row],[MovementID]], MovementLibrary[MovementID], MovementLibrary[Modality], "")
)</f>
        <v>Gymnastics</v>
      </c>
      <c r="E431" s="5" t="str">
        <f>IF(SessionMovements[[#This Row],[MovementID]]="","",
   _xlfn.XLOOKUP(SessionMovements[[#This Row],[MovementID]], MovementLibrary[MovementID], MovementLibrary[Unit], "")
)</f>
        <v>sec</v>
      </c>
      <c r="F4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1">
        <v>3</v>
      </c>
      <c r="H431" t="s">
        <v>1063</v>
      </c>
      <c r="K431" t="s">
        <v>529</v>
      </c>
      <c r="L431" s="5" t="str">
        <f>IF(COUNTIF(Sessions[SessionID],SessionMovements[[#This Row],[SessionID]])=0,"❌ Missing","✔ OK")</f>
        <v>✔ OK</v>
      </c>
    </row>
    <row r="432" spans="1:12" x14ac:dyDescent="0.3">
      <c r="A432" s="17" t="s">
        <v>1082</v>
      </c>
      <c r="B432" t="s">
        <v>256</v>
      </c>
      <c r="C432" t="str">
        <f>IF(SessionMovements[[#This Row],[MovementID]]="","",
   _xlfn.XLOOKUP(SessionMovements[[#This Row],[MovementID]],MovementLibrary[MovementID],MovementLibrary[Name],"")
)</f>
        <v>Bench Press</v>
      </c>
      <c r="D432" s="5" t="str">
        <f>IF(SessionMovements[[#This Row],[MovementID]]="","",
   _xlfn.XLOOKUP(SessionMovements[[#This Row],[MovementID]], MovementLibrary[MovementID], MovementLibrary[Modality], "")
)</f>
        <v>Barbell</v>
      </c>
      <c r="E432" s="5" t="str">
        <f>IF(SessionMovements[[#This Row],[MovementID]]="","",
   _xlfn.XLOOKUP(SessionMovements[[#This Row],[MovementID]], MovementLibrary[MovementID], MovementLibrary[Unit], "")
)</f>
        <v>kg</v>
      </c>
      <c r="F4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2">
        <v>4</v>
      </c>
      <c r="H432">
        <v>5</v>
      </c>
      <c r="J432">
        <v>70</v>
      </c>
      <c r="K432" t="s">
        <v>1077</v>
      </c>
      <c r="L432" s="5" t="str">
        <f>IF(COUNTIF(Sessions[SessionID],SessionMovements[[#This Row],[SessionID]])=0,"❌ Missing","✔ OK")</f>
        <v>✔ OK</v>
      </c>
    </row>
    <row r="433" spans="1:12" x14ac:dyDescent="0.3">
      <c r="A433" s="17" t="s">
        <v>1082</v>
      </c>
      <c r="B433" t="s">
        <v>415</v>
      </c>
      <c r="C433" t="str">
        <f>IF(SessionMovements[[#This Row],[MovementID]]="","",
   _xlfn.XLOOKUP(SessionMovements[[#This Row],[MovementID]],MovementLibrary[MovementID],MovementLibrary[Name],"")
)</f>
        <v>Double-Unders</v>
      </c>
      <c r="D433" s="5" t="str">
        <f>IF(SessionMovements[[#This Row],[MovementID]]="","",
   _xlfn.XLOOKUP(SessionMovements[[#This Row],[MovementID]], MovementLibrary[MovementID], MovementLibrary[Modality], "")
)</f>
        <v>Gymnastics</v>
      </c>
      <c r="E433" s="5" t="str">
        <f>IF(SessionMovements[[#This Row],[MovementID]]="","",
   _xlfn.XLOOKUP(SessionMovements[[#This Row],[MovementID]], MovementLibrary[MovementID], MovementLibrary[Unit], "")
)</f>
        <v>reps</v>
      </c>
      <c r="F4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3" t="s">
        <v>885</v>
      </c>
      <c r="H433">
        <v>40</v>
      </c>
      <c r="L433" s="5" t="str">
        <f>IF(COUNTIF(Sessions[SessionID],SessionMovements[[#This Row],[SessionID]])=0,"❌ Missing","✔ OK")</f>
        <v>✔ OK</v>
      </c>
    </row>
    <row r="434" spans="1:12" x14ac:dyDescent="0.3">
      <c r="A434" s="17" t="s">
        <v>1083</v>
      </c>
      <c r="B434" t="s">
        <v>394</v>
      </c>
      <c r="C434" t="str">
        <f>IF(SessionMovements[[#This Row],[MovementID]]="","",
   _xlfn.XLOOKUP(SessionMovements[[#This Row],[MovementID]],MovementLibrary[MovementID],MovementLibrary[Name],"")
)</f>
        <v>Chest-to-Bar Pull-Up</v>
      </c>
      <c r="D434" s="5" t="str">
        <f>IF(SessionMovements[[#This Row],[MovementID]]="","",
   _xlfn.XLOOKUP(SessionMovements[[#This Row],[MovementID]], MovementLibrary[MovementID], MovementLibrary[Modality], "")
)</f>
        <v>Gymnastics</v>
      </c>
      <c r="E434" s="5" t="str">
        <f>IF(SessionMovements[[#This Row],[MovementID]]="","",
   _xlfn.XLOOKUP(SessionMovements[[#This Row],[MovementID]], MovementLibrary[MovementID], MovementLibrary[Unit], "")
)</f>
        <v>reps</v>
      </c>
      <c r="F4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4">
        <v>6</v>
      </c>
      <c r="H434">
        <v>3</v>
      </c>
      <c r="K434" t="s">
        <v>1084</v>
      </c>
      <c r="L434" s="5" t="str">
        <f>IF(COUNTIF(Sessions[SessionID],SessionMovements[[#This Row],[SessionID]])=0,"❌ Missing","✔ OK")</f>
        <v>✔ OK</v>
      </c>
    </row>
    <row r="435" spans="1:12" x14ac:dyDescent="0.3">
      <c r="A435" s="17" t="s">
        <v>1083</v>
      </c>
      <c r="B435" t="s">
        <v>684</v>
      </c>
      <c r="C435" t="str">
        <f>IF(SessionMovements[[#This Row],[MovementID]]="","",
   _xlfn.XLOOKUP(SessionMovements[[#This Row],[MovementID]],MovementLibrary[MovementID],MovementLibrary[Name],"")
)</f>
        <v>Weighted Pull-Up</v>
      </c>
      <c r="D435" s="5" t="str">
        <f>IF(SessionMovements[[#This Row],[MovementID]]="","",
   _xlfn.XLOOKUP(SessionMovements[[#This Row],[MovementID]], MovementLibrary[MovementID], MovementLibrary[Modality], "")
)</f>
        <v>Gymnastics</v>
      </c>
      <c r="E435" s="5" t="str">
        <f>IF(SessionMovements[[#This Row],[MovementID]]="","",
   _xlfn.XLOOKUP(SessionMovements[[#This Row],[MovementID]], MovementLibrary[MovementID], MovementLibrary[Unit], "")
)</f>
        <v>kg</v>
      </c>
      <c r="F4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5">
        <v>4</v>
      </c>
      <c r="H435">
        <v>4</v>
      </c>
      <c r="K435" t="s">
        <v>1085</v>
      </c>
      <c r="L435" s="5" t="str">
        <f>IF(COUNTIF(Sessions[SessionID],SessionMovements[[#This Row],[SessionID]])=0,"❌ Missing","✔ OK")</f>
        <v>✔ OK</v>
      </c>
    </row>
    <row r="436" spans="1:12" x14ac:dyDescent="0.3">
      <c r="A436" s="17" t="s">
        <v>1083</v>
      </c>
      <c r="B436" t="s">
        <v>687</v>
      </c>
      <c r="C436" t="str">
        <f>IF(SessionMovements[[#This Row],[MovementID]]="","",
   _xlfn.XLOOKUP(SessionMovements[[#This Row],[MovementID]],MovementLibrary[MovementID],MovementLibrary[Name],"")
)</f>
        <v>Chest-to-Bar Hold</v>
      </c>
      <c r="D436" s="5" t="str">
        <f>IF(SessionMovements[[#This Row],[MovementID]]="","",
   _xlfn.XLOOKUP(SessionMovements[[#This Row],[MovementID]], MovementLibrary[MovementID], MovementLibrary[Modality], "")
)</f>
        <v>Gymnastics</v>
      </c>
      <c r="E436" s="5" t="str">
        <f>IF(SessionMovements[[#This Row],[MovementID]]="","",
   _xlfn.XLOOKUP(SessionMovements[[#This Row],[MovementID]], MovementLibrary[MovementID], MovementLibrary[Unit], "")
)</f>
        <v>sec</v>
      </c>
      <c r="F4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6">
        <v>3</v>
      </c>
      <c r="H436">
        <v>18</v>
      </c>
      <c r="K436" t="s">
        <v>1062</v>
      </c>
      <c r="L436" s="5" t="str">
        <f>IF(COUNTIF(Sessions[SessionID],SessionMovements[[#This Row],[SessionID]])=0,"❌ Missing","✔ OK")</f>
        <v>✔ OK</v>
      </c>
    </row>
    <row r="437" spans="1:12" x14ac:dyDescent="0.3">
      <c r="A437" s="17" t="s">
        <v>1083</v>
      </c>
      <c r="B437" t="s">
        <v>530</v>
      </c>
      <c r="C437" t="str">
        <f>IF(SessionMovements[[#This Row],[MovementID]]="","",
   _xlfn.XLOOKUP(SessionMovements[[#This Row],[MovementID]],MovementLibrary[MovementID],MovementLibrary[Name],"")
)</f>
        <v>Hollow Hold</v>
      </c>
      <c r="D437" s="5" t="str">
        <f>IF(SessionMovements[[#This Row],[MovementID]]="","",
   _xlfn.XLOOKUP(SessionMovements[[#This Row],[MovementID]], MovementLibrary[MovementID], MovementLibrary[Modality], "")
)</f>
        <v>Gymnastics</v>
      </c>
      <c r="E437" s="5" t="str">
        <f>IF(SessionMovements[[#This Row],[MovementID]]="","",
   _xlfn.XLOOKUP(SessionMovements[[#This Row],[MovementID]], MovementLibrary[MovementID], MovementLibrary[Unit], "")
)</f>
        <v>sec</v>
      </c>
      <c r="F4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7">
        <v>3</v>
      </c>
      <c r="H437" t="s">
        <v>1063</v>
      </c>
      <c r="L437" s="5" t="str">
        <f>IF(COUNTIF(Sessions[SessionID],SessionMovements[[#This Row],[SessionID]])=0,"❌ Missing","✔ OK")</f>
        <v>✔ OK</v>
      </c>
    </row>
    <row r="438" spans="1:12" x14ac:dyDescent="0.3">
      <c r="A438" s="17" t="s">
        <v>1083</v>
      </c>
      <c r="B438" t="s">
        <v>256</v>
      </c>
      <c r="C438" t="str">
        <f>IF(SessionMovements[[#This Row],[MovementID]]="","",
   _xlfn.XLOOKUP(SessionMovements[[#This Row],[MovementID]],MovementLibrary[MovementID],MovementLibrary[Name],"")
)</f>
        <v>Bench Press</v>
      </c>
      <c r="D438" s="5" t="str">
        <f>IF(SessionMovements[[#This Row],[MovementID]]="","",
   _xlfn.XLOOKUP(SessionMovements[[#This Row],[MovementID]], MovementLibrary[MovementID], MovementLibrary[Modality], "")
)</f>
        <v>Barbell</v>
      </c>
      <c r="E438" s="5" t="str">
        <f>IF(SessionMovements[[#This Row],[MovementID]]="","",
   _xlfn.XLOOKUP(SessionMovements[[#This Row],[MovementID]], MovementLibrary[MovementID], MovementLibrary[Unit], "")
)</f>
        <v>kg</v>
      </c>
      <c r="F4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8">
        <v>5</v>
      </c>
      <c r="H438">
        <v>6</v>
      </c>
      <c r="J438">
        <v>75</v>
      </c>
      <c r="K438" t="s">
        <v>1065</v>
      </c>
      <c r="L438" s="5" t="str">
        <f>IF(COUNTIF(Sessions[SessionID],SessionMovements[[#This Row],[SessionID]])=0,"❌ Missing","✔ OK")</f>
        <v>✔ OK</v>
      </c>
    </row>
    <row r="439" spans="1:12" x14ac:dyDescent="0.3">
      <c r="A439" s="17" t="s">
        <v>1083</v>
      </c>
      <c r="B439" t="s">
        <v>415</v>
      </c>
      <c r="C439" t="str">
        <f>IF(SessionMovements[[#This Row],[MovementID]]="","",
   _xlfn.XLOOKUP(SessionMovements[[#This Row],[MovementID]],MovementLibrary[MovementID],MovementLibrary[Name],"")
)</f>
        <v>Double-Unders</v>
      </c>
      <c r="D439" s="5" t="str">
        <f>IF(SessionMovements[[#This Row],[MovementID]]="","",
   _xlfn.XLOOKUP(SessionMovements[[#This Row],[MovementID]], MovementLibrary[MovementID], MovementLibrary[Modality], "")
)</f>
        <v>Gymnastics</v>
      </c>
      <c r="E439" s="5" t="str">
        <f>IF(SessionMovements[[#This Row],[MovementID]]="","",
   _xlfn.XLOOKUP(SessionMovements[[#This Row],[MovementID]], MovementLibrary[MovementID], MovementLibrary[Unit], "")
)</f>
        <v>reps</v>
      </c>
      <c r="F4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39" t="s">
        <v>885</v>
      </c>
      <c r="H439">
        <v>40</v>
      </c>
      <c r="L439" s="5" t="str">
        <f>IF(COUNTIF(Sessions[SessionID],SessionMovements[[#This Row],[SessionID]])=0,"❌ Missing","✔ OK")</f>
        <v>✔ OK</v>
      </c>
    </row>
    <row r="440" spans="1:12" x14ac:dyDescent="0.3">
      <c r="A440" s="17" t="s">
        <v>1086</v>
      </c>
      <c r="B440" t="s">
        <v>699</v>
      </c>
      <c r="C440" t="str">
        <f>IF(SessionMovements[[#This Row],[MovementID]]="","",
   _xlfn.XLOOKUP(SessionMovements[[#This Row],[MovementID]],MovementLibrary[MovementID],MovementLibrary[Name],"")
)</f>
        <v>Bar MU Transition – Foot/Box Assist</v>
      </c>
      <c r="D440" s="5" t="str">
        <f>IF(SessionMovements[[#This Row],[MovementID]]="","",
   _xlfn.XLOOKUP(SessionMovements[[#This Row],[MovementID]], MovementLibrary[MovementID], MovementLibrary[Modality], "")
)</f>
        <v>Gymnastics</v>
      </c>
      <c r="E440" s="5" t="str">
        <f>IF(SessionMovements[[#This Row],[MovementID]]="","",
   _xlfn.XLOOKUP(SessionMovements[[#This Row],[MovementID]], MovementLibrary[MovementID], MovementLibrary[Unit], "")
)</f>
        <v>reps</v>
      </c>
      <c r="F4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0">
        <v>6</v>
      </c>
      <c r="H440">
        <v>2</v>
      </c>
      <c r="K440" t="s">
        <v>1087</v>
      </c>
      <c r="L440" s="5" t="str">
        <f>IF(COUNTIF(Sessions[SessionID],SessionMovements[[#This Row],[SessionID]])=0,"❌ Missing","✔ OK")</f>
        <v>✔ OK</v>
      </c>
    </row>
    <row r="441" spans="1:12" x14ac:dyDescent="0.3">
      <c r="A441" s="17" t="s">
        <v>1086</v>
      </c>
      <c r="B441" t="s">
        <v>693</v>
      </c>
      <c r="C441" t="str">
        <f>IF(SessionMovements[[#This Row],[MovementID]]="","",
   _xlfn.XLOOKUP(SessionMovements[[#This Row],[MovementID]],MovementLibrary[MovementID],MovementLibrary[Name],"")
)</f>
        <v>Straight-Bar Dip</v>
      </c>
      <c r="D441" s="5" t="str">
        <f>IF(SessionMovements[[#This Row],[MovementID]]="","",
   _xlfn.XLOOKUP(SessionMovements[[#This Row],[MovementID]], MovementLibrary[MovementID], MovementLibrary[Modality], "")
)</f>
        <v>Gymnastics</v>
      </c>
      <c r="E441" s="5" t="str">
        <f>IF(SessionMovements[[#This Row],[MovementID]]="","",
   _xlfn.XLOOKUP(SessionMovements[[#This Row],[MovementID]], MovementLibrary[MovementID], MovementLibrary[Unit], "")
)</f>
        <v>reps</v>
      </c>
      <c r="F4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1">
        <v>4</v>
      </c>
      <c r="H441">
        <v>4</v>
      </c>
      <c r="K441" t="s">
        <v>1088</v>
      </c>
      <c r="L441" s="5" t="str">
        <f>IF(COUNTIF(Sessions[SessionID],SessionMovements[[#This Row],[SessionID]])=0,"❌ Missing","✔ OK")</f>
        <v>✔ OK</v>
      </c>
    </row>
    <row r="442" spans="1:12" x14ac:dyDescent="0.3">
      <c r="A442" s="17" t="s">
        <v>1086</v>
      </c>
      <c r="B442" t="s">
        <v>696</v>
      </c>
      <c r="C442" t="str">
        <f>IF(SessionMovements[[#This Row],[MovementID]]="","",
   _xlfn.XLOOKUP(SessionMovements[[#This Row],[MovementID]],MovementLibrary[MovementID],MovementLibrary[Name],"")
)</f>
        <v>Bar Top Support Hold</v>
      </c>
      <c r="D442" s="5" t="str">
        <f>IF(SessionMovements[[#This Row],[MovementID]]="","",
   _xlfn.XLOOKUP(SessionMovements[[#This Row],[MovementID]], MovementLibrary[MovementID], MovementLibrary[Modality], "")
)</f>
        <v>Gymnastics</v>
      </c>
      <c r="E442" s="5" t="str">
        <f>IF(SessionMovements[[#This Row],[MovementID]]="","",
   _xlfn.XLOOKUP(SessionMovements[[#This Row],[MovementID]], MovementLibrary[MovementID], MovementLibrary[Unit], "")
)</f>
        <v>sec</v>
      </c>
      <c r="F4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2">
        <v>3</v>
      </c>
      <c r="H442" t="s">
        <v>1063</v>
      </c>
      <c r="L442" s="5" t="str">
        <f>IF(COUNTIF(Sessions[SessionID],SessionMovements[[#This Row],[SessionID]])=0,"❌ Missing","✔ OK")</f>
        <v>✔ OK</v>
      </c>
    </row>
    <row r="443" spans="1:12" x14ac:dyDescent="0.3">
      <c r="A443" s="17" t="s">
        <v>1086</v>
      </c>
      <c r="B443" t="s">
        <v>702</v>
      </c>
      <c r="C443" t="str">
        <f>IF(SessionMovements[[#This Row],[MovementID]]="","",
   _xlfn.XLOOKUP(SessionMovements[[#This Row],[MovementID]],MovementLibrary[MovementID],MovementLibrary[Name],"")
)</f>
        <v>Bar MU Eccentric</v>
      </c>
      <c r="D443" s="5" t="str">
        <f>IF(SessionMovements[[#This Row],[MovementID]]="","",
   _xlfn.XLOOKUP(SessionMovements[[#This Row],[MovementID]], MovementLibrary[MovementID], MovementLibrary[Modality], "")
)</f>
        <v>Gymnastics</v>
      </c>
      <c r="E443" s="5" t="str">
        <f>IF(SessionMovements[[#This Row],[MovementID]]="","",
   _xlfn.XLOOKUP(SessionMovements[[#This Row],[MovementID]], MovementLibrary[MovementID], MovementLibrary[Unit], "")
)</f>
        <v>reps</v>
      </c>
      <c r="F4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3">
        <v>2</v>
      </c>
      <c r="H443">
        <v>3</v>
      </c>
      <c r="K443" t="s">
        <v>1089</v>
      </c>
      <c r="L443" s="5" t="str">
        <f>IF(COUNTIF(Sessions[SessionID],SessionMovements[[#This Row],[SessionID]])=0,"❌ Missing","✔ OK")</f>
        <v>✔ OK</v>
      </c>
    </row>
    <row r="444" spans="1:12" x14ac:dyDescent="0.3">
      <c r="A444" s="17" t="s">
        <v>1086</v>
      </c>
      <c r="B444" t="s">
        <v>1474</v>
      </c>
      <c r="C444" t="str">
        <f>IF(SessionMovements[[#This Row],[MovementID]]="","",
   _xlfn.XLOOKUP(SessionMovements[[#This Row],[MovementID]],MovementLibrary[MovementID],MovementLibrary[Name],"")
)</f>
        <v>TTB and Thrusters</v>
      </c>
      <c r="D444" s="5" t="str">
        <f>IF(SessionMovements[[#This Row],[MovementID]]="","",
   _xlfn.XLOOKUP(SessionMovements[[#This Row],[MovementID]], MovementLibrary[MovementID], MovementLibrary[Modality], "")
)</f>
        <v>Open Prep</v>
      </c>
      <c r="E444" s="5" t="str">
        <f>IF(SessionMovements[[#This Row],[MovementID]]="","",
   _xlfn.XLOOKUP(SessionMovements[[#This Row],[MovementID]], MovementLibrary[MovementID], MovementLibrary[Unit], "")
)</f>
        <v>sec</v>
      </c>
      <c r="F4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4" t="s">
        <v>885</v>
      </c>
      <c r="H444" t="s">
        <v>1478</v>
      </c>
      <c r="K444" t="s">
        <v>1081</v>
      </c>
      <c r="L444" s="5" t="str">
        <f>IF(COUNTIF(Sessions[SessionID],SessionMovements[[#This Row],[SessionID]])=0,"❌ Missing","✔ OK")</f>
        <v>✔ OK</v>
      </c>
    </row>
    <row r="445" spans="1:12" x14ac:dyDescent="0.3">
      <c r="A445" s="17" t="s">
        <v>1090</v>
      </c>
      <c r="B445" t="s">
        <v>394</v>
      </c>
      <c r="C445" t="str">
        <f>IF(SessionMovements[[#This Row],[MovementID]]="","",
   _xlfn.XLOOKUP(SessionMovements[[#This Row],[MovementID]],MovementLibrary[MovementID],MovementLibrary[Name],"")
)</f>
        <v>Chest-to-Bar Pull-Up</v>
      </c>
      <c r="D445" s="5" t="str">
        <f>IF(SessionMovements[[#This Row],[MovementID]]="","",
   _xlfn.XLOOKUP(SessionMovements[[#This Row],[MovementID]], MovementLibrary[MovementID], MovementLibrary[Modality], "")
)</f>
        <v>Gymnastics</v>
      </c>
      <c r="E445" s="5" t="str">
        <f>IF(SessionMovements[[#This Row],[MovementID]]="","",
   _xlfn.XLOOKUP(SessionMovements[[#This Row],[MovementID]], MovementLibrary[MovementID], MovementLibrary[Unit], "")
)</f>
        <v>reps</v>
      </c>
      <c r="F4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5">
        <v>5</v>
      </c>
      <c r="H445" t="s">
        <v>1091</v>
      </c>
      <c r="K445" t="s">
        <v>1074</v>
      </c>
      <c r="L445" s="5" t="str">
        <f>IF(COUNTIF(Sessions[SessionID],SessionMovements[[#This Row],[SessionID]])=0,"❌ Missing","✔ OK")</f>
        <v>✔ OK</v>
      </c>
    </row>
    <row r="446" spans="1:12" x14ac:dyDescent="0.3">
      <c r="A446" s="17" t="s">
        <v>1090</v>
      </c>
      <c r="B446" t="s">
        <v>687</v>
      </c>
      <c r="C446" t="str">
        <f>IF(SessionMovements[[#This Row],[MovementID]]="","",
   _xlfn.XLOOKUP(SessionMovements[[#This Row],[MovementID]],MovementLibrary[MovementID],MovementLibrary[Name],"")
)</f>
        <v>Chest-to-Bar Hold</v>
      </c>
      <c r="D446" s="5" t="str">
        <f>IF(SessionMovements[[#This Row],[MovementID]]="","",
   _xlfn.XLOOKUP(SessionMovements[[#This Row],[MovementID]], MovementLibrary[MovementID], MovementLibrary[Modality], "")
)</f>
        <v>Gymnastics</v>
      </c>
      <c r="E446" s="5" t="str">
        <f>IF(SessionMovements[[#This Row],[MovementID]]="","",
   _xlfn.XLOOKUP(SessionMovements[[#This Row],[MovementID]], MovementLibrary[MovementID], MovementLibrary[Unit], "")
)</f>
        <v>sec</v>
      </c>
      <c r="F4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6">
        <v>3</v>
      </c>
      <c r="H446">
        <v>18</v>
      </c>
      <c r="L446" s="5" t="str">
        <f>IF(COUNTIF(Sessions[SessionID],SessionMovements[[#This Row],[SessionID]])=0,"❌ Missing","✔ OK")</f>
        <v>✔ OK</v>
      </c>
    </row>
    <row r="447" spans="1:12" x14ac:dyDescent="0.3">
      <c r="A447" s="17" t="s">
        <v>1090</v>
      </c>
      <c r="B447" t="s">
        <v>690</v>
      </c>
      <c r="C447" t="str">
        <f>IF(SessionMovements[[#This Row],[MovementID]]="","",
   _xlfn.XLOOKUP(SessionMovements[[#This Row],[MovementID]],MovementLibrary[MovementID],MovementLibrary[Name],"")
)</f>
        <v>Chest-to-Bar Negative</v>
      </c>
      <c r="D447" s="5" t="str">
        <f>IF(SessionMovements[[#This Row],[MovementID]]="","",
   _xlfn.XLOOKUP(SessionMovements[[#This Row],[MovementID]], MovementLibrary[MovementID], MovementLibrary[Modality], "")
)</f>
        <v>Gymnastics</v>
      </c>
      <c r="E447" s="5" t="str">
        <f>IF(SessionMovements[[#This Row],[MovementID]]="","",
   _xlfn.XLOOKUP(SessionMovements[[#This Row],[MovementID]], MovementLibrary[MovementID], MovementLibrary[Unit], "")
)</f>
        <v>reps</v>
      </c>
      <c r="F4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7">
        <v>3</v>
      </c>
      <c r="H447">
        <v>5</v>
      </c>
      <c r="K447" t="s">
        <v>1092</v>
      </c>
      <c r="L447" s="5" t="str">
        <f>IF(COUNTIF(Sessions[SessionID],SessionMovements[[#This Row],[SessionID]])=0,"❌ Missing","✔ OK")</f>
        <v>✔ OK</v>
      </c>
    </row>
    <row r="448" spans="1:12" x14ac:dyDescent="0.3">
      <c r="A448" s="17" t="s">
        <v>1090</v>
      </c>
      <c r="B448" t="s">
        <v>527</v>
      </c>
      <c r="C448" t="str">
        <f>IF(SessionMovements[[#This Row],[MovementID]]="","",
   _xlfn.XLOOKUP(SessionMovements[[#This Row],[MovementID]],MovementLibrary[MovementID],MovementLibrary[Name],"")
)</f>
        <v>L-Sit Hold</v>
      </c>
      <c r="D448" s="5" t="str">
        <f>IF(SessionMovements[[#This Row],[MovementID]]="","",
   _xlfn.XLOOKUP(SessionMovements[[#This Row],[MovementID]], MovementLibrary[MovementID], MovementLibrary[Modality], "")
)</f>
        <v>Gymnastics</v>
      </c>
      <c r="E448" s="5" t="str">
        <f>IF(SessionMovements[[#This Row],[MovementID]]="","",
   _xlfn.XLOOKUP(SessionMovements[[#This Row],[MovementID]], MovementLibrary[MovementID], MovementLibrary[Unit], "")
)</f>
        <v>sec</v>
      </c>
      <c r="F4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8">
        <v>3</v>
      </c>
      <c r="H448" t="s">
        <v>1063</v>
      </c>
      <c r="L448" s="5" t="str">
        <f>IF(COUNTIF(Sessions[SessionID],SessionMovements[[#This Row],[SessionID]])=0,"❌ Missing","✔ OK")</f>
        <v>✔ OK</v>
      </c>
    </row>
    <row r="449" spans="1:12" x14ac:dyDescent="0.3">
      <c r="A449" s="17" t="s">
        <v>1090</v>
      </c>
      <c r="B449" t="s">
        <v>256</v>
      </c>
      <c r="C449" t="str">
        <f>IF(SessionMovements[[#This Row],[MovementID]]="","",
   _xlfn.XLOOKUP(SessionMovements[[#This Row],[MovementID]],MovementLibrary[MovementID],MovementLibrary[Name],"")
)</f>
        <v>Bench Press</v>
      </c>
      <c r="D449" s="5" t="str">
        <f>IF(SessionMovements[[#This Row],[MovementID]]="","",
   _xlfn.XLOOKUP(SessionMovements[[#This Row],[MovementID]], MovementLibrary[MovementID], MovementLibrary[Modality], "")
)</f>
        <v>Barbell</v>
      </c>
      <c r="E449" s="5" t="str">
        <f>IF(SessionMovements[[#This Row],[MovementID]]="","",
   _xlfn.XLOOKUP(SessionMovements[[#This Row],[MovementID]], MovementLibrary[MovementID], MovementLibrary[Unit], "")
)</f>
        <v>kg</v>
      </c>
      <c r="F4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49">
        <v>4</v>
      </c>
      <c r="H449">
        <v>6</v>
      </c>
      <c r="J449">
        <v>70</v>
      </c>
      <c r="K449" t="s">
        <v>1077</v>
      </c>
      <c r="L449" s="5" t="str">
        <f>IF(COUNTIF(Sessions[SessionID],SessionMovements[[#This Row],[SessionID]])=0,"❌ Missing","✔ OK")</f>
        <v>✔ OK</v>
      </c>
    </row>
    <row r="450" spans="1:12" x14ac:dyDescent="0.3">
      <c r="A450" s="17" t="s">
        <v>1090</v>
      </c>
      <c r="B450" t="s">
        <v>1474</v>
      </c>
      <c r="C450" t="str">
        <f>IF(SessionMovements[[#This Row],[MovementID]]="","",
   _xlfn.XLOOKUP(SessionMovements[[#This Row],[MovementID]],MovementLibrary[MovementID],MovementLibrary[Name],"")
)</f>
        <v>TTB and Thrusters</v>
      </c>
      <c r="D450" s="5" t="str">
        <f>IF(SessionMovements[[#This Row],[MovementID]]="","",
   _xlfn.XLOOKUP(SessionMovements[[#This Row],[MovementID]], MovementLibrary[MovementID], MovementLibrary[Modality], "")
)</f>
        <v>Open Prep</v>
      </c>
      <c r="E450" s="5" t="str">
        <f>IF(SessionMovements[[#This Row],[MovementID]]="","",
   _xlfn.XLOOKUP(SessionMovements[[#This Row],[MovementID]], MovementLibrary[MovementID], MovementLibrary[Unit], "")
)</f>
        <v>sec</v>
      </c>
      <c r="F4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0" t="s">
        <v>885</v>
      </c>
      <c r="H450" t="s">
        <v>1478</v>
      </c>
      <c r="L450" s="5" t="str">
        <f>IF(COUNTIF(Sessions[SessionID],SessionMovements[[#This Row],[SessionID]])=0,"❌ Missing","✔ OK")</f>
        <v>✔ OK</v>
      </c>
    </row>
    <row r="451" spans="1:12" x14ac:dyDescent="0.3">
      <c r="A451" s="17" t="s">
        <v>1093</v>
      </c>
      <c r="B451" t="s">
        <v>394</v>
      </c>
      <c r="C451" t="str">
        <f>IF(SessionMovements[[#This Row],[MovementID]]="","",
   _xlfn.XLOOKUP(SessionMovements[[#This Row],[MovementID]],MovementLibrary[MovementID],MovementLibrary[Name],"")
)</f>
        <v>Chest-to-Bar Pull-Up</v>
      </c>
      <c r="D451" s="5" t="str">
        <f>IF(SessionMovements[[#This Row],[MovementID]]="","",
   _xlfn.XLOOKUP(SessionMovements[[#This Row],[MovementID]], MovementLibrary[MovementID], MovementLibrary[Modality], "")
)</f>
        <v>Gymnastics</v>
      </c>
      <c r="E451" s="5" t="str">
        <f>IF(SessionMovements[[#This Row],[MovementID]]="","",
   _xlfn.XLOOKUP(SessionMovements[[#This Row],[MovementID]], MovementLibrary[MovementID], MovementLibrary[Unit], "")
)</f>
        <v>reps</v>
      </c>
      <c r="F4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1">
        <v>6</v>
      </c>
      <c r="H451">
        <v>3</v>
      </c>
      <c r="K451" t="s">
        <v>1084</v>
      </c>
      <c r="L451" s="5" t="str">
        <f>IF(COUNTIF(Sessions[SessionID],SessionMovements[[#This Row],[SessionID]])=0,"❌ Missing","✔ OK")</f>
        <v>✔ OK</v>
      </c>
    </row>
    <row r="452" spans="1:12" x14ac:dyDescent="0.3">
      <c r="A452" s="17" t="s">
        <v>1093</v>
      </c>
      <c r="B452" t="s">
        <v>684</v>
      </c>
      <c r="C452" t="str">
        <f>IF(SessionMovements[[#This Row],[MovementID]]="","",
   _xlfn.XLOOKUP(SessionMovements[[#This Row],[MovementID]],MovementLibrary[MovementID],MovementLibrary[Name],"")
)</f>
        <v>Weighted Pull-Up</v>
      </c>
      <c r="D452" s="5" t="str">
        <f>IF(SessionMovements[[#This Row],[MovementID]]="","",
   _xlfn.XLOOKUP(SessionMovements[[#This Row],[MovementID]], MovementLibrary[MovementID], MovementLibrary[Modality], "")
)</f>
        <v>Gymnastics</v>
      </c>
      <c r="E452" s="5" t="str">
        <f>IF(SessionMovements[[#This Row],[MovementID]]="","",
   _xlfn.XLOOKUP(SessionMovements[[#This Row],[MovementID]], MovementLibrary[MovementID], MovementLibrary[Unit], "")
)</f>
        <v>kg</v>
      </c>
      <c r="F4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2">
        <v>4</v>
      </c>
      <c r="H452">
        <v>4</v>
      </c>
      <c r="K452" t="s">
        <v>1085</v>
      </c>
      <c r="L452" s="5" t="str">
        <f>IF(COUNTIF(Sessions[SessionID],SessionMovements[[#This Row],[SessionID]])=0,"❌ Missing","✔ OK")</f>
        <v>✔ OK</v>
      </c>
    </row>
    <row r="453" spans="1:12" x14ac:dyDescent="0.3">
      <c r="A453" s="17" t="s">
        <v>1093</v>
      </c>
      <c r="B453" t="s">
        <v>687</v>
      </c>
      <c r="C453" t="str">
        <f>IF(SessionMovements[[#This Row],[MovementID]]="","",
   _xlfn.XLOOKUP(SessionMovements[[#This Row],[MovementID]],MovementLibrary[MovementID],MovementLibrary[Name],"")
)</f>
        <v>Chest-to-Bar Hold</v>
      </c>
      <c r="D453" s="5" t="str">
        <f>IF(SessionMovements[[#This Row],[MovementID]]="","",
   _xlfn.XLOOKUP(SessionMovements[[#This Row],[MovementID]], MovementLibrary[MovementID], MovementLibrary[Modality], "")
)</f>
        <v>Gymnastics</v>
      </c>
      <c r="E453" s="5" t="str">
        <f>IF(SessionMovements[[#This Row],[MovementID]]="","",
   _xlfn.XLOOKUP(SessionMovements[[#This Row],[MovementID]], MovementLibrary[MovementID], MovementLibrary[Unit], "")
)</f>
        <v>sec</v>
      </c>
      <c r="F4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3">
        <v>3</v>
      </c>
      <c r="H453" s="18">
        <v>46009</v>
      </c>
      <c r="K453" t="s">
        <v>1062</v>
      </c>
      <c r="L453" s="5" t="str">
        <f>IF(COUNTIF(Sessions[SessionID],SessionMovements[[#This Row],[SessionID]])=0,"❌ Missing","✔ OK")</f>
        <v>✔ OK</v>
      </c>
    </row>
    <row r="454" spans="1:12" x14ac:dyDescent="0.3">
      <c r="A454" s="17" t="s">
        <v>1093</v>
      </c>
      <c r="B454" t="s">
        <v>530</v>
      </c>
      <c r="C454" t="str">
        <f>IF(SessionMovements[[#This Row],[MovementID]]="","",
   _xlfn.XLOOKUP(SessionMovements[[#This Row],[MovementID]],MovementLibrary[MovementID],MovementLibrary[Name],"")
)</f>
        <v>Hollow Hold</v>
      </c>
      <c r="D454" s="5" t="str">
        <f>IF(SessionMovements[[#This Row],[MovementID]]="","",
   _xlfn.XLOOKUP(SessionMovements[[#This Row],[MovementID]], MovementLibrary[MovementID], MovementLibrary[Modality], "")
)</f>
        <v>Gymnastics</v>
      </c>
      <c r="E454" s="5" t="str">
        <f>IF(SessionMovements[[#This Row],[MovementID]]="","",
   _xlfn.XLOOKUP(SessionMovements[[#This Row],[MovementID]], MovementLibrary[MovementID], MovementLibrary[Unit], "")
)</f>
        <v>sec</v>
      </c>
      <c r="F4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4">
        <v>3</v>
      </c>
      <c r="H454" t="s">
        <v>1063</v>
      </c>
      <c r="L454" s="5" t="str">
        <f>IF(COUNTIF(Sessions[SessionID],SessionMovements[[#This Row],[SessionID]])=0,"❌ Missing","✔ OK")</f>
        <v>✔ OK</v>
      </c>
    </row>
    <row r="455" spans="1:12" x14ac:dyDescent="0.3">
      <c r="A455" s="17" t="s">
        <v>1093</v>
      </c>
      <c r="B455" t="s">
        <v>256</v>
      </c>
      <c r="C455" t="str">
        <f>IF(SessionMovements[[#This Row],[MovementID]]="","",
   _xlfn.XLOOKUP(SessionMovements[[#This Row],[MovementID]],MovementLibrary[MovementID],MovementLibrary[Name],"")
)</f>
        <v>Bench Press</v>
      </c>
      <c r="D455" s="5" t="str">
        <f>IF(SessionMovements[[#This Row],[MovementID]]="","",
   _xlfn.XLOOKUP(SessionMovements[[#This Row],[MovementID]], MovementLibrary[MovementID], MovementLibrary[Modality], "")
)</f>
        <v>Barbell</v>
      </c>
      <c r="E455" s="5" t="str">
        <f>IF(SessionMovements[[#This Row],[MovementID]]="","",
   _xlfn.XLOOKUP(SessionMovements[[#This Row],[MovementID]], MovementLibrary[MovementID], MovementLibrary[Unit], "")
)</f>
        <v>kg</v>
      </c>
      <c r="F4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5">
        <v>5</v>
      </c>
      <c r="H455">
        <v>6</v>
      </c>
      <c r="J455">
        <v>75</v>
      </c>
      <c r="K455" t="s">
        <v>1065</v>
      </c>
      <c r="L455" s="5" t="str">
        <f>IF(COUNTIF(Sessions[SessionID],SessionMovements[[#This Row],[SessionID]])=0,"❌ Missing","✔ OK")</f>
        <v>✔ OK</v>
      </c>
    </row>
    <row r="456" spans="1:12" x14ac:dyDescent="0.3">
      <c r="A456" s="17" t="s">
        <v>1093</v>
      </c>
      <c r="B456" t="s">
        <v>275</v>
      </c>
      <c r="C456" t="str">
        <f>IF(SessionMovements[[#This Row],[MovementID]]="","",
   _xlfn.XLOOKUP(SessionMovements[[#This Row],[MovementID]],MovementLibrary[MovementID],MovementLibrary[Name],"")
)</f>
        <v>Power Snatch</v>
      </c>
      <c r="D456" s="5" t="str">
        <f>IF(SessionMovements[[#This Row],[MovementID]]="","",
   _xlfn.XLOOKUP(SessionMovements[[#This Row],[MovementID]], MovementLibrary[MovementID], MovementLibrary[Modality], "")
)</f>
        <v>Barbell</v>
      </c>
      <c r="E456" s="5" t="str">
        <f>IF(SessionMovements[[#This Row],[MovementID]]="","",
   _xlfn.XLOOKUP(SessionMovements[[#This Row],[MovementID]], MovementLibrary[MovementID], MovementLibrary[Unit], "")
)</f>
        <v>kg</v>
      </c>
      <c r="F4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6" t="s">
        <v>885</v>
      </c>
      <c r="H456">
        <v>3</v>
      </c>
      <c r="K456" t="s">
        <v>962</v>
      </c>
      <c r="L456" s="5" t="str">
        <f>IF(COUNTIF(Sessions[SessionID],SessionMovements[[#This Row],[SessionID]])=0,"❌ Missing","✔ OK")</f>
        <v>✔ OK</v>
      </c>
    </row>
    <row r="457" spans="1:12" x14ac:dyDescent="0.3">
      <c r="A457" s="17" t="s">
        <v>1094</v>
      </c>
      <c r="B457" t="s">
        <v>699</v>
      </c>
      <c r="C457" t="str">
        <f>IF(SessionMovements[[#This Row],[MovementID]]="","",
   _xlfn.XLOOKUP(SessionMovements[[#This Row],[MovementID]],MovementLibrary[MovementID],MovementLibrary[Name],"")
)</f>
        <v>Bar MU Transition – Foot/Box Assist</v>
      </c>
      <c r="D457" s="5" t="str">
        <f>IF(SessionMovements[[#This Row],[MovementID]]="","",
   _xlfn.XLOOKUP(SessionMovements[[#This Row],[MovementID]], MovementLibrary[MovementID], MovementLibrary[Modality], "")
)</f>
        <v>Gymnastics</v>
      </c>
      <c r="E457" s="5" t="str">
        <f>IF(SessionMovements[[#This Row],[MovementID]]="","",
   _xlfn.XLOOKUP(SessionMovements[[#This Row],[MovementID]], MovementLibrary[MovementID], MovementLibrary[Unit], "")
)</f>
        <v>reps</v>
      </c>
      <c r="F4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7">
        <v>6</v>
      </c>
      <c r="H457">
        <v>2</v>
      </c>
      <c r="K457" t="s">
        <v>1087</v>
      </c>
      <c r="L457" s="5" t="str">
        <f>IF(COUNTIF(Sessions[SessionID],SessionMovements[[#This Row],[SessionID]])=0,"❌ Missing","✔ OK")</f>
        <v>✔ OK</v>
      </c>
    </row>
    <row r="458" spans="1:12" x14ac:dyDescent="0.3">
      <c r="A458" s="17" t="s">
        <v>1094</v>
      </c>
      <c r="B458" t="s">
        <v>693</v>
      </c>
      <c r="C458" t="str">
        <f>IF(SessionMovements[[#This Row],[MovementID]]="","",
   _xlfn.XLOOKUP(SessionMovements[[#This Row],[MovementID]],MovementLibrary[MovementID],MovementLibrary[Name],"")
)</f>
        <v>Straight-Bar Dip</v>
      </c>
      <c r="D458" s="5" t="str">
        <f>IF(SessionMovements[[#This Row],[MovementID]]="","",
   _xlfn.XLOOKUP(SessionMovements[[#This Row],[MovementID]], MovementLibrary[MovementID], MovementLibrary[Modality], "")
)</f>
        <v>Gymnastics</v>
      </c>
      <c r="E458" s="5" t="str">
        <f>IF(SessionMovements[[#This Row],[MovementID]]="","",
   _xlfn.XLOOKUP(SessionMovements[[#This Row],[MovementID]], MovementLibrary[MovementID], MovementLibrary[Unit], "")
)</f>
        <v>reps</v>
      </c>
      <c r="F4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8">
        <v>4</v>
      </c>
      <c r="H458">
        <v>4</v>
      </c>
      <c r="K458" t="s">
        <v>1088</v>
      </c>
      <c r="L458" s="5" t="str">
        <f>IF(COUNTIF(Sessions[SessionID],SessionMovements[[#This Row],[SessionID]])=0,"❌ Missing","✔ OK")</f>
        <v>✔ OK</v>
      </c>
    </row>
    <row r="459" spans="1:12" x14ac:dyDescent="0.3">
      <c r="A459" s="17" t="s">
        <v>1094</v>
      </c>
      <c r="B459" t="s">
        <v>696</v>
      </c>
      <c r="C459" t="str">
        <f>IF(SessionMovements[[#This Row],[MovementID]]="","",
   _xlfn.XLOOKUP(SessionMovements[[#This Row],[MovementID]],MovementLibrary[MovementID],MovementLibrary[Name],"")
)</f>
        <v>Bar Top Support Hold</v>
      </c>
      <c r="D459" s="5" t="str">
        <f>IF(SessionMovements[[#This Row],[MovementID]]="","",
   _xlfn.XLOOKUP(SessionMovements[[#This Row],[MovementID]], MovementLibrary[MovementID], MovementLibrary[Modality], "")
)</f>
        <v>Gymnastics</v>
      </c>
      <c r="E459" s="5" t="str">
        <f>IF(SessionMovements[[#This Row],[MovementID]]="","",
   _xlfn.XLOOKUP(SessionMovements[[#This Row],[MovementID]], MovementLibrary[MovementID], MovementLibrary[Unit], "")
)</f>
        <v>sec</v>
      </c>
      <c r="F4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59">
        <v>3</v>
      </c>
      <c r="H459" t="s">
        <v>1063</v>
      </c>
      <c r="L459" s="5" t="str">
        <f>IF(COUNTIF(Sessions[SessionID],SessionMovements[[#This Row],[SessionID]])=0,"❌ Missing","✔ OK")</f>
        <v>✔ OK</v>
      </c>
    </row>
    <row r="460" spans="1:12" x14ac:dyDescent="0.3">
      <c r="A460" s="17" t="s">
        <v>1094</v>
      </c>
      <c r="B460" t="s">
        <v>702</v>
      </c>
      <c r="C460" t="str">
        <f>IF(SessionMovements[[#This Row],[MovementID]]="","",
   _xlfn.XLOOKUP(SessionMovements[[#This Row],[MovementID]],MovementLibrary[MovementID],MovementLibrary[Name],"")
)</f>
        <v>Bar MU Eccentric</v>
      </c>
      <c r="D460" s="5" t="str">
        <f>IF(SessionMovements[[#This Row],[MovementID]]="","",
   _xlfn.XLOOKUP(SessionMovements[[#This Row],[MovementID]], MovementLibrary[MovementID], MovementLibrary[Modality], "")
)</f>
        <v>Gymnastics</v>
      </c>
      <c r="E460" s="5" t="str">
        <f>IF(SessionMovements[[#This Row],[MovementID]]="","",
   _xlfn.XLOOKUP(SessionMovements[[#This Row],[MovementID]], MovementLibrary[MovementID], MovementLibrary[Unit], "")
)</f>
        <v>reps</v>
      </c>
      <c r="F4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0">
        <v>2</v>
      </c>
      <c r="H460">
        <v>3</v>
      </c>
      <c r="K460" t="s">
        <v>1089</v>
      </c>
      <c r="L460" s="5" t="str">
        <f>IF(COUNTIF(Sessions[SessionID],SessionMovements[[#This Row],[SessionID]])=0,"❌ Missing","✔ OK")</f>
        <v>✔ OK</v>
      </c>
    </row>
    <row r="461" spans="1:12" x14ac:dyDescent="0.3">
      <c r="A461" s="17" t="s">
        <v>1094</v>
      </c>
      <c r="B461" t="s">
        <v>1474</v>
      </c>
      <c r="C461" t="str">
        <f>IF(SessionMovements[[#This Row],[MovementID]]="","",
   _xlfn.XLOOKUP(SessionMovements[[#This Row],[MovementID]],MovementLibrary[MovementID],MovementLibrary[Name],"")
)</f>
        <v>TTB and Thrusters</v>
      </c>
      <c r="D461" s="5" t="str">
        <f>IF(SessionMovements[[#This Row],[MovementID]]="","",
   _xlfn.XLOOKUP(SessionMovements[[#This Row],[MovementID]], MovementLibrary[MovementID], MovementLibrary[Modality], "")
)</f>
        <v>Open Prep</v>
      </c>
      <c r="E461" s="5" t="str">
        <f>IF(SessionMovements[[#This Row],[MovementID]]="","",
   _xlfn.XLOOKUP(SessionMovements[[#This Row],[MovementID]], MovementLibrary[MovementID], MovementLibrary[Unit], "")
)</f>
        <v>sec</v>
      </c>
      <c r="F4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1" t="s">
        <v>885</v>
      </c>
      <c r="H461" t="s">
        <v>1478</v>
      </c>
      <c r="K461" t="s">
        <v>1081</v>
      </c>
      <c r="L461" s="5" t="str">
        <f>IF(COUNTIF(Sessions[SessionID],SessionMovements[[#This Row],[SessionID]])=0,"❌ Missing","✔ OK")</f>
        <v>✔ OK</v>
      </c>
    </row>
    <row r="462" spans="1:12" x14ac:dyDescent="0.3">
      <c r="A462" s="17" t="s">
        <v>1095</v>
      </c>
      <c r="B462" t="s">
        <v>394</v>
      </c>
      <c r="C462" t="str">
        <f>IF(SessionMovements[[#This Row],[MovementID]]="","",
   _xlfn.XLOOKUP(SessionMovements[[#This Row],[MovementID]],MovementLibrary[MovementID],MovementLibrary[Name],"")
)</f>
        <v>Chest-to-Bar Pull-Up</v>
      </c>
      <c r="D462" s="5" t="str">
        <f>IF(SessionMovements[[#This Row],[MovementID]]="","",
   _xlfn.XLOOKUP(SessionMovements[[#This Row],[MovementID]], MovementLibrary[MovementID], MovementLibrary[Modality], "")
)</f>
        <v>Gymnastics</v>
      </c>
      <c r="E462" s="5" t="str">
        <f>IF(SessionMovements[[#This Row],[MovementID]]="","",
   _xlfn.XLOOKUP(SessionMovements[[#This Row],[MovementID]], MovementLibrary[MovementID], MovementLibrary[Unit], "")
)</f>
        <v>reps</v>
      </c>
      <c r="F4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2">
        <v>5</v>
      </c>
      <c r="H462" t="s">
        <v>1091</v>
      </c>
      <c r="K462" t="s">
        <v>1074</v>
      </c>
      <c r="L462" s="5" t="str">
        <f>IF(COUNTIF(Sessions[SessionID],SessionMovements[[#This Row],[SessionID]])=0,"❌ Missing","✔ OK")</f>
        <v>✔ OK</v>
      </c>
    </row>
    <row r="463" spans="1:12" x14ac:dyDescent="0.3">
      <c r="A463" s="17" t="s">
        <v>1095</v>
      </c>
      <c r="B463" t="s">
        <v>687</v>
      </c>
      <c r="C463" t="str">
        <f>IF(SessionMovements[[#This Row],[MovementID]]="","",
   _xlfn.XLOOKUP(SessionMovements[[#This Row],[MovementID]],MovementLibrary[MovementID],MovementLibrary[Name],"")
)</f>
        <v>Chest-to-Bar Hold</v>
      </c>
      <c r="D463" s="5" t="str">
        <f>IF(SessionMovements[[#This Row],[MovementID]]="","",
   _xlfn.XLOOKUP(SessionMovements[[#This Row],[MovementID]], MovementLibrary[MovementID], MovementLibrary[Modality], "")
)</f>
        <v>Gymnastics</v>
      </c>
      <c r="E463" s="5" t="str">
        <f>IF(SessionMovements[[#This Row],[MovementID]]="","",
   _xlfn.XLOOKUP(SessionMovements[[#This Row],[MovementID]], MovementLibrary[MovementID], MovementLibrary[Unit], "")
)</f>
        <v>sec</v>
      </c>
      <c r="F4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3">
        <v>3</v>
      </c>
      <c r="H463" s="18">
        <v>46009</v>
      </c>
      <c r="L463" s="5" t="str">
        <f>IF(COUNTIF(Sessions[SessionID],SessionMovements[[#This Row],[SessionID]])=0,"❌ Missing","✔ OK")</f>
        <v>✔ OK</v>
      </c>
    </row>
    <row r="464" spans="1:12" x14ac:dyDescent="0.3">
      <c r="A464" s="17" t="s">
        <v>1095</v>
      </c>
      <c r="B464" t="s">
        <v>690</v>
      </c>
      <c r="C464" t="str">
        <f>IF(SessionMovements[[#This Row],[MovementID]]="","",
   _xlfn.XLOOKUP(SessionMovements[[#This Row],[MovementID]],MovementLibrary[MovementID],MovementLibrary[Name],"")
)</f>
        <v>Chest-to-Bar Negative</v>
      </c>
      <c r="D464" s="5" t="str">
        <f>IF(SessionMovements[[#This Row],[MovementID]]="","",
   _xlfn.XLOOKUP(SessionMovements[[#This Row],[MovementID]], MovementLibrary[MovementID], MovementLibrary[Modality], "")
)</f>
        <v>Gymnastics</v>
      </c>
      <c r="E464" s="5" t="str">
        <f>IF(SessionMovements[[#This Row],[MovementID]]="","",
   _xlfn.XLOOKUP(SessionMovements[[#This Row],[MovementID]], MovementLibrary[MovementID], MovementLibrary[Unit], "")
)</f>
        <v>reps</v>
      </c>
      <c r="F4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4">
        <v>3</v>
      </c>
      <c r="H464">
        <v>5</v>
      </c>
      <c r="K464" t="s">
        <v>1092</v>
      </c>
      <c r="L464" s="5" t="str">
        <f>IF(COUNTIF(Sessions[SessionID],SessionMovements[[#This Row],[SessionID]])=0,"❌ Missing","✔ OK")</f>
        <v>✔ OK</v>
      </c>
    </row>
    <row r="465" spans="1:12" x14ac:dyDescent="0.3">
      <c r="A465" s="17" t="s">
        <v>1095</v>
      </c>
      <c r="B465" t="s">
        <v>527</v>
      </c>
      <c r="C465" t="str">
        <f>IF(SessionMovements[[#This Row],[MovementID]]="","",
   _xlfn.XLOOKUP(SessionMovements[[#This Row],[MovementID]],MovementLibrary[MovementID],MovementLibrary[Name],"")
)</f>
        <v>L-Sit Hold</v>
      </c>
      <c r="D465" s="5" t="str">
        <f>IF(SessionMovements[[#This Row],[MovementID]]="","",
   _xlfn.XLOOKUP(SessionMovements[[#This Row],[MovementID]], MovementLibrary[MovementID], MovementLibrary[Modality], "")
)</f>
        <v>Gymnastics</v>
      </c>
      <c r="E465" s="5" t="str">
        <f>IF(SessionMovements[[#This Row],[MovementID]]="","",
   _xlfn.XLOOKUP(SessionMovements[[#This Row],[MovementID]], MovementLibrary[MovementID], MovementLibrary[Unit], "")
)</f>
        <v>sec</v>
      </c>
      <c r="F4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5">
        <v>3</v>
      </c>
      <c r="H465" t="s">
        <v>1063</v>
      </c>
      <c r="L465" s="5" t="str">
        <f>IF(COUNTIF(Sessions[SessionID],SessionMovements[[#This Row],[SessionID]])=0,"❌ Missing","✔ OK")</f>
        <v>✔ OK</v>
      </c>
    </row>
    <row r="466" spans="1:12" x14ac:dyDescent="0.3">
      <c r="A466" s="17" t="s">
        <v>1095</v>
      </c>
      <c r="B466" t="s">
        <v>256</v>
      </c>
      <c r="C466" t="str">
        <f>IF(SessionMovements[[#This Row],[MovementID]]="","",
   _xlfn.XLOOKUP(SessionMovements[[#This Row],[MovementID]],MovementLibrary[MovementID],MovementLibrary[Name],"")
)</f>
        <v>Bench Press</v>
      </c>
      <c r="D466" s="5" t="str">
        <f>IF(SessionMovements[[#This Row],[MovementID]]="","",
   _xlfn.XLOOKUP(SessionMovements[[#This Row],[MovementID]], MovementLibrary[MovementID], MovementLibrary[Modality], "")
)</f>
        <v>Barbell</v>
      </c>
      <c r="E466" s="5" t="str">
        <f>IF(SessionMovements[[#This Row],[MovementID]]="","",
   _xlfn.XLOOKUP(SessionMovements[[#This Row],[MovementID]], MovementLibrary[MovementID], MovementLibrary[Unit], "")
)</f>
        <v>kg</v>
      </c>
      <c r="F4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6">
        <v>4</v>
      </c>
      <c r="H466">
        <v>5</v>
      </c>
      <c r="J466">
        <v>75</v>
      </c>
      <c r="K466" t="s">
        <v>1077</v>
      </c>
      <c r="L466" s="5" t="str">
        <f>IF(COUNTIF(Sessions[SessionID],SessionMovements[[#This Row],[SessionID]])=0,"❌ Missing","✔ OK")</f>
        <v>✔ OK</v>
      </c>
    </row>
    <row r="467" spans="1:12" x14ac:dyDescent="0.3">
      <c r="A467" s="17" t="s">
        <v>1095</v>
      </c>
      <c r="B467" t="s">
        <v>1474</v>
      </c>
      <c r="C467" t="str">
        <f>IF(SessionMovements[[#This Row],[MovementID]]="","",
   _xlfn.XLOOKUP(SessionMovements[[#This Row],[MovementID]],MovementLibrary[MovementID],MovementLibrary[Name],"")
)</f>
        <v>TTB and Thrusters</v>
      </c>
      <c r="D467" s="5" t="str">
        <f>IF(SessionMovements[[#This Row],[MovementID]]="","",
   _xlfn.XLOOKUP(SessionMovements[[#This Row],[MovementID]], MovementLibrary[MovementID], MovementLibrary[Modality], "")
)</f>
        <v>Open Prep</v>
      </c>
      <c r="E467" s="5" t="str">
        <f>IF(SessionMovements[[#This Row],[MovementID]]="","",
   _xlfn.XLOOKUP(SessionMovements[[#This Row],[MovementID]], MovementLibrary[MovementID], MovementLibrary[Unit], "")
)</f>
        <v>sec</v>
      </c>
      <c r="F4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7" t="s">
        <v>885</v>
      </c>
      <c r="H467" t="s">
        <v>1478</v>
      </c>
      <c r="L467" s="5" t="str">
        <f>IF(COUNTIF(Sessions[SessionID],SessionMovements[[#This Row],[SessionID]])=0,"❌ Missing","✔ OK")</f>
        <v>✔ OK</v>
      </c>
    </row>
    <row r="468" spans="1:12" x14ac:dyDescent="0.3">
      <c r="A468" s="17" t="s">
        <v>1096</v>
      </c>
      <c r="B468" t="s">
        <v>394</v>
      </c>
      <c r="C468" t="str">
        <f>IF(SessionMovements[[#This Row],[MovementID]]="","",
   _xlfn.XLOOKUP(SessionMovements[[#This Row],[MovementID]],MovementLibrary[MovementID],MovementLibrary[Name],"")
)</f>
        <v>Chest-to-Bar Pull-Up</v>
      </c>
      <c r="D468" s="5" t="str">
        <f>IF(SessionMovements[[#This Row],[MovementID]]="","",
   _xlfn.XLOOKUP(SessionMovements[[#This Row],[MovementID]], MovementLibrary[MovementID], MovementLibrary[Modality], "")
)</f>
        <v>Gymnastics</v>
      </c>
      <c r="E468" s="5" t="str">
        <f>IF(SessionMovements[[#This Row],[MovementID]]="","",
   _xlfn.XLOOKUP(SessionMovements[[#This Row],[MovementID]], MovementLibrary[MovementID], MovementLibrary[Unit], "")
)</f>
        <v>reps</v>
      </c>
      <c r="F4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8">
        <v>5</v>
      </c>
      <c r="H468">
        <v>3</v>
      </c>
      <c r="K468" t="s">
        <v>1097</v>
      </c>
      <c r="L468" s="5" t="str">
        <f>IF(COUNTIF(Sessions[SessionID],SessionMovements[[#This Row],[SessionID]])=0,"❌ Missing","✔ OK")</f>
        <v>✔ OK</v>
      </c>
    </row>
    <row r="469" spans="1:12" x14ac:dyDescent="0.3">
      <c r="A469" s="17" t="s">
        <v>1096</v>
      </c>
      <c r="B469" t="s">
        <v>684</v>
      </c>
      <c r="C469" t="str">
        <f>IF(SessionMovements[[#This Row],[MovementID]]="","",
   _xlfn.XLOOKUP(SessionMovements[[#This Row],[MovementID]],MovementLibrary[MovementID],MovementLibrary[Name],"")
)</f>
        <v>Weighted Pull-Up</v>
      </c>
      <c r="D469" s="5" t="str">
        <f>IF(SessionMovements[[#This Row],[MovementID]]="","",
   _xlfn.XLOOKUP(SessionMovements[[#This Row],[MovementID]], MovementLibrary[MovementID], MovementLibrary[Modality], "")
)</f>
        <v>Gymnastics</v>
      </c>
      <c r="E469" s="5" t="str">
        <f>IF(SessionMovements[[#This Row],[MovementID]]="","",
   _xlfn.XLOOKUP(SessionMovements[[#This Row],[MovementID]], MovementLibrary[MovementID], MovementLibrary[Unit], "")
)</f>
        <v>kg</v>
      </c>
      <c r="F4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69">
        <v>5</v>
      </c>
      <c r="H469">
        <v>3</v>
      </c>
      <c r="K469" t="s">
        <v>1098</v>
      </c>
      <c r="L469" s="5" t="str">
        <f>IF(COUNTIF(Sessions[SessionID],SessionMovements[[#This Row],[SessionID]])=0,"❌ Missing","✔ OK")</f>
        <v>✔ OK</v>
      </c>
    </row>
    <row r="470" spans="1:12" x14ac:dyDescent="0.3">
      <c r="A470" s="17" t="s">
        <v>1096</v>
      </c>
      <c r="B470" t="s">
        <v>687</v>
      </c>
      <c r="C470" t="str">
        <f>IF(SessionMovements[[#This Row],[MovementID]]="","",
   _xlfn.XLOOKUP(SessionMovements[[#This Row],[MovementID]],MovementLibrary[MovementID],MovementLibrary[Name],"")
)</f>
        <v>Chest-to-Bar Hold</v>
      </c>
      <c r="D470" s="5" t="str">
        <f>IF(SessionMovements[[#This Row],[MovementID]]="","",
   _xlfn.XLOOKUP(SessionMovements[[#This Row],[MovementID]], MovementLibrary[MovementID], MovementLibrary[Modality], "")
)</f>
        <v>Gymnastics</v>
      </c>
      <c r="E470" s="5" t="str">
        <f>IF(SessionMovements[[#This Row],[MovementID]]="","",
   _xlfn.XLOOKUP(SessionMovements[[#This Row],[MovementID]], MovementLibrary[MovementID], MovementLibrary[Unit], "")
)</f>
        <v>sec</v>
      </c>
      <c r="F4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0">
        <v>3</v>
      </c>
      <c r="H470" t="s">
        <v>1099</v>
      </c>
      <c r="L470" s="5" t="str">
        <f>IF(COUNTIF(Sessions[SessionID],SessionMovements[[#This Row],[SessionID]])=0,"❌ Missing","✔ OK")</f>
        <v>✔ OK</v>
      </c>
    </row>
    <row r="471" spans="1:12" x14ac:dyDescent="0.3">
      <c r="A471" s="17" t="s">
        <v>1096</v>
      </c>
      <c r="B471" t="s">
        <v>530</v>
      </c>
      <c r="C471" t="str">
        <f>IF(SessionMovements[[#This Row],[MovementID]]="","",
   _xlfn.XLOOKUP(SessionMovements[[#This Row],[MovementID]],MovementLibrary[MovementID],MovementLibrary[Name],"")
)</f>
        <v>Hollow Hold</v>
      </c>
      <c r="D471" s="5" t="str">
        <f>IF(SessionMovements[[#This Row],[MovementID]]="","",
   _xlfn.XLOOKUP(SessionMovements[[#This Row],[MovementID]], MovementLibrary[MovementID], MovementLibrary[Modality], "")
)</f>
        <v>Gymnastics</v>
      </c>
      <c r="E471" s="5" t="str">
        <f>IF(SessionMovements[[#This Row],[MovementID]]="","",
   _xlfn.XLOOKUP(SessionMovements[[#This Row],[MovementID]], MovementLibrary[MovementID], MovementLibrary[Unit], "")
)</f>
        <v>sec</v>
      </c>
      <c r="F4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1">
        <v>3</v>
      </c>
      <c r="H471" t="s">
        <v>1063</v>
      </c>
      <c r="L471" s="5" t="str">
        <f>IF(COUNTIF(Sessions[SessionID],SessionMovements[[#This Row],[SessionID]])=0,"❌ Missing","✔ OK")</f>
        <v>✔ OK</v>
      </c>
    </row>
    <row r="472" spans="1:12" x14ac:dyDescent="0.3">
      <c r="A472" s="17" t="s">
        <v>1096</v>
      </c>
      <c r="B472" t="s">
        <v>256</v>
      </c>
      <c r="C472" t="str">
        <f>IF(SessionMovements[[#This Row],[MovementID]]="","",
   _xlfn.XLOOKUP(SessionMovements[[#This Row],[MovementID]],MovementLibrary[MovementID],MovementLibrary[Name],"")
)</f>
        <v>Bench Press</v>
      </c>
      <c r="D472" s="5" t="str">
        <f>IF(SessionMovements[[#This Row],[MovementID]]="","",
   _xlfn.XLOOKUP(SessionMovements[[#This Row],[MovementID]], MovementLibrary[MovementID], MovementLibrary[Modality], "")
)</f>
        <v>Barbell</v>
      </c>
      <c r="E472" s="5" t="str">
        <f>IF(SessionMovements[[#This Row],[MovementID]]="","",
   _xlfn.XLOOKUP(SessionMovements[[#This Row],[MovementID]], MovementLibrary[MovementID], MovementLibrary[Unit], "")
)</f>
        <v>kg</v>
      </c>
      <c r="F4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2">
        <v>6</v>
      </c>
      <c r="H472">
        <v>5</v>
      </c>
      <c r="J472">
        <v>75</v>
      </c>
      <c r="K472" t="s">
        <v>1065</v>
      </c>
      <c r="L472" s="5" t="str">
        <f>IF(COUNTIF(Sessions[SessionID],SessionMovements[[#This Row],[SessionID]])=0,"❌ Missing","✔ OK")</f>
        <v>✔ OK</v>
      </c>
    </row>
    <row r="473" spans="1:12" x14ac:dyDescent="0.3">
      <c r="A473" s="17" t="s">
        <v>1096</v>
      </c>
      <c r="B473" t="s">
        <v>1474</v>
      </c>
      <c r="C473" t="str">
        <f>IF(SessionMovements[[#This Row],[MovementID]]="","",
   _xlfn.XLOOKUP(SessionMovements[[#This Row],[MovementID]],MovementLibrary[MovementID],MovementLibrary[Name],"")
)</f>
        <v>TTB and Thrusters</v>
      </c>
      <c r="D473" s="5" t="str">
        <f>IF(SessionMovements[[#This Row],[MovementID]]="","",
   _xlfn.XLOOKUP(SessionMovements[[#This Row],[MovementID]], MovementLibrary[MovementID], MovementLibrary[Modality], "")
)</f>
        <v>Open Prep</v>
      </c>
      <c r="E473" s="5" t="str">
        <f>IF(SessionMovements[[#This Row],[MovementID]]="","",
   _xlfn.XLOOKUP(SessionMovements[[#This Row],[MovementID]], MovementLibrary[MovementID], MovementLibrary[Unit], "")
)</f>
        <v>sec</v>
      </c>
      <c r="F4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3" t="s">
        <v>885</v>
      </c>
      <c r="H473" t="s">
        <v>1478</v>
      </c>
      <c r="L473" s="5" t="str">
        <f>IF(COUNTIF(Sessions[SessionID],SessionMovements[[#This Row],[SessionID]])=0,"❌ Missing","✔ OK")</f>
        <v>✔ OK</v>
      </c>
    </row>
    <row r="474" spans="1:12" x14ac:dyDescent="0.3">
      <c r="A474" s="17" t="s">
        <v>1100</v>
      </c>
      <c r="B474" t="s">
        <v>699</v>
      </c>
      <c r="C474" t="str">
        <f>IF(SessionMovements[[#This Row],[MovementID]]="","",
   _xlfn.XLOOKUP(SessionMovements[[#This Row],[MovementID]],MovementLibrary[MovementID],MovementLibrary[Name],"")
)</f>
        <v>Bar MU Transition – Foot/Box Assist</v>
      </c>
      <c r="D474" s="5" t="str">
        <f>IF(SessionMovements[[#This Row],[MovementID]]="","",
   _xlfn.XLOOKUP(SessionMovements[[#This Row],[MovementID]], MovementLibrary[MovementID], MovementLibrary[Modality], "")
)</f>
        <v>Gymnastics</v>
      </c>
      <c r="E474" s="5" t="str">
        <f>IF(SessionMovements[[#This Row],[MovementID]]="","",
   _xlfn.XLOOKUP(SessionMovements[[#This Row],[MovementID]], MovementLibrary[MovementID], MovementLibrary[Unit], "")
)</f>
        <v>reps</v>
      </c>
      <c r="F4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4">
        <v>5</v>
      </c>
      <c r="H474">
        <v>1</v>
      </c>
      <c r="K474" t="s">
        <v>1101</v>
      </c>
      <c r="L474" s="5" t="str">
        <f>IF(COUNTIF(Sessions[SessionID],SessionMovements[[#This Row],[SessionID]])=0,"❌ Missing","✔ OK")</f>
        <v>✔ OK</v>
      </c>
    </row>
    <row r="475" spans="1:12" x14ac:dyDescent="0.3">
      <c r="A475" s="17" t="s">
        <v>1100</v>
      </c>
      <c r="B475" t="s">
        <v>693</v>
      </c>
      <c r="C475" t="str">
        <f>IF(SessionMovements[[#This Row],[MovementID]]="","",
   _xlfn.XLOOKUP(SessionMovements[[#This Row],[MovementID]],MovementLibrary[MovementID],MovementLibrary[Name],"")
)</f>
        <v>Straight-Bar Dip</v>
      </c>
      <c r="D475" s="5" t="str">
        <f>IF(SessionMovements[[#This Row],[MovementID]]="","",
   _xlfn.XLOOKUP(SessionMovements[[#This Row],[MovementID]], MovementLibrary[MovementID], MovementLibrary[Modality], "")
)</f>
        <v>Gymnastics</v>
      </c>
      <c r="E475" s="5" t="str">
        <f>IF(SessionMovements[[#This Row],[MovementID]]="","",
   _xlfn.XLOOKUP(SessionMovements[[#This Row],[MovementID]], MovementLibrary[MovementID], MovementLibrary[Unit], "")
)</f>
        <v>reps</v>
      </c>
      <c r="F4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5">
        <v>3</v>
      </c>
      <c r="H475">
        <v>2</v>
      </c>
      <c r="K475" t="s">
        <v>1102</v>
      </c>
      <c r="L475" s="5" t="str">
        <f>IF(COUNTIF(Sessions[SessionID],SessionMovements[[#This Row],[SessionID]])=0,"❌ Missing","✔ OK")</f>
        <v>✔ OK</v>
      </c>
    </row>
    <row r="476" spans="1:12" x14ac:dyDescent="0.3">
      <c r="A476" s="17" t="s">
        <v>1100</v>
      </c>
      <c r="B476" t="s">
        <v>696</v>
      </c>
      <c r="C476" t="str">
        <f>IF(SessionMovements[[#This Row],[MovementID]]="","",
   _xlfn.XLOOKUP(SessionMovements[[#This Row],[MovementID]],MovementLibrary[MovementID],MovementLibrary[Name],"")
)</f>
        <v>Bar Top Support Hold</v>
      </c>
      <c r="D476" s="5" t="str">
        <f>IF(SessionMovements[[#This Row],[MovementID]]="","",
   _xlfn.XLOOKUP(SessionMovements[[#This Row],[MovementID]], MovementLibrary[MovementID], MovementLibrary[Modality], "")
)</f>
        <v>Gymnastics</v>
      </c>
      <c r="E476" s="5" t="str">
        <f>IF(SessionMovements[[#This Row],[MovementID]]="","",
   _xlfn.XLOOKUP(SessionMovements[[#This Row],[MovementID]], MovementLibrary[MovementID], MovementLibrary[Unit], "")
)</f>
        <v>sec</v>
      </c>
      <c r="F4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6">
        <v>3</v>
      </c>
      <c r="H476" t="s">
        <v>1063</v>
      </c>
      <c r="L476" s="5" t="str">
        <f>IF(COUNTIF(Sessions[SessionID],SessionMovements[[#This Row],[SessionID]])=0,"❌ Missing","✔ OK")</f>
        <v>✔ OK</v>
      </c>
    </row>
    <row r="477" spans="1:12" x14ac:dyDescent="0.3">
      <c r="A477" s="17" t="s">
        <v>1100</v>
      </c>
      <c r="B477" t="s">
        <v>702</v>
      </c>
      <c r="C477" t="str">
        <f>IF(SessionMovements[[#This Row],[MovementID]]="","",
   _xlfn.XLOOKUP(SessionMovements[[#This Row],[MovementID]],MovementLibrary[MovementID],MovementLibrary[Name],"")
)</f>
        <v>Bar MU Eccentric</v>
      </c>
      <c r="D477" s="5" t="str">
        <f>IF(SessionMovements[[#This Row],[MovementID]]="","",
   _xlfn.XLOOKUP(SessionMovements[[#This Row],[MovementID]], MovementLibrary[MovementID], MovementLibrary[Modality], "")
)</f>
        <v>Gymnastics</v>
      </c>
      <c r="E477" s="5" t="str">
        <f>IF(SessionMovements[[#This Row],[MovementID]]="","",
   _xlfn.XLOOKUP(SessionMovements[[#This Row],[MovementID]], MovementLibrary[MovementID], MovementLibrary[Unit], "")
)</f>
        <v>reps</v>
      </c>
      <c r="F4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7">
        <v>2</v>
      </c>
      <c r="H477">
        <v>2</v>
      </c>
      <c r="K477" t="s">
        <v>1103</v>
      </c>
      <c r="L477" s="5" t="str">
        <f>IF(COUNTIF(Sessions[SessionID],SessionMovements[[#This Row],[SessionID]])=0,"❌ Missing","✔ OK")</f>
        <v>✔ OK</v>
      </c>
    </row>
    <row r="478" spans="1:12" x14ac:dyDescent="0.3">
      <c r="A478" s="17" t="s">
        <v>1100</v>
      </c>
      <c r="B478" t="s">
        <v>1474</v>
      </c>
      <c r="C478" t="str">
        <f>IF(SessionMovements[[#This Row],[MovementID]]="","",
   _xlfn.XLOOKUP(SessionMovements[[#This Row],[MovementID]],MovementLibrary[MovementID],MovementLibrary[Name],"")
)</f>
        <v>TTB and Thrusters</v>
      </c>
      <c r="D478" s="5" t="str">
        <f>IF(SessionMovements[[#This Row],[MovementID]]="","",
   _xlfn.XLOOKUP(SessionMovements[[#This Row],[MovementID]], MovementLibrary[MovementID], MovementLibrary[Modality], "")
)</f>
        <v>Open Prep</v>
      </c>
      <c r="E478" s="5" t="str">
        <f>IF(SessionMovements[[#This Row],[MovementID]]="","",
   _xlfn.XLOOKUP(SessionMovements[[#This Row],[MovementID]], MovementLibrary[MovementID], MovementLibrary[Unit], "")
)</f>
        <v>sec</v>
      </c>
      <c r="F4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8" t="s">
        <v>885</v>
      </c>
      <c r="H478" t="s">
        <v>1478</v>
      </c>
      <c r="K478" t="s">
        <v>1081</v>
      </c>
      <c r="L478" s="5" t="str">
        <f>IF(COUNTIF(Sessions[SessionID],SessionMovements[[#This Row],[SessionID]])=0,"❌ Missing","✔ OK")</f>
        <v>✔ OK</v>
      </c>
    </row>
    <row r="479" spans="1:12" x14ac:dyDescent="0.3">
      <c r="A479" s="17" t="s">
        <v>1104</v>
      </c>
      <c r="B479" t="s">
        <v>394</v>
      </c>
      <c r="C479" t="str">
        <f>IF(SessionMovements[[#This Row],[MovementID]]="","",
   _xlfn.XLOOKUP(SessionMovements[[#This Row],[MovementID]],MovementLibrary[MovementID],MovementLibrary[Name],"")
)</f>
        <v>Chest-to-Bar Pull-Up</v>
      </c>
      <c r="D479" s="5" t="str">
        <f>IF(SessionMovements[[#This Row],[MovementID]]="","",
   _xlfn.XLOOKUP(SessionMovements[[#This Row],[MovementID]], MovementLibrary[MovementID], MovementLibrary[Modality], "")
)</f>
        <v>Gymnastics</v>
      </c>
      <c r="E479" s="5" t="str">
        <f>IF(SessionMovements[[#This Row],[MovementID]]="","",
   _xlfn.XLOOKUP(SessionMovements[[#This Row],[MovementID]], MovementLibrary[MovementID], MovementLibrary[Unit], "")
)</f>
        <v>reps</v>
      </c>
      <c r="F4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79">
        <v>6</v>
      </c>
      <c r="H479">
        <v>3</v>
      </c>
      <c r="K479" t="s">
        <v>1105</v>
      </c>
      <c r="L479" s="5" t="str">
        <f>IF(COUNTIF(Sessions[SessionID],SessionMovements[[#This Row],[SessionID]])=0,"❌ Missing","✔ OK")</f>
        <v>✔ OK</v>
      </c>
    </row>
    <row r="480" spans="1:12" x14ac:dyDescent="0.3">
      <c r="A480" s="17" t="s">
        <v>1104</v>
      </c>
      <c r="B480" t="s">
        <v>687</v>
      </c>
      <c r="C480" t="str">
        <f>IF(SessionMovements[[#This Row],[MovementID]]="","",
   _xlfn.XLOOKUP(SessionMovements[[#This Row],[MovementID]],MovementLibrary[MovementID],MovementLibrary[Name],"")
)</f>
        <v>Chest-to-Bar Hold</v>
      </c>
      <c r="D480" s="5" t="str">
        <f>IF(SessionMovements[[#This Row],[MovementID]]="","",
   _xlfn.XLOOKUP(SessionMovements[[#This Row],[MovementID]], MovementLibrary[MovementID], MovementLibrary[Modality], "")
)</f>
        <v>Gymnastics</v>
      </c>
      <c r="E480" s="5" t="str">
        <f>IF(SessionMovements[[#This Row],[MovementID]]="","",
   _xlfn.XLOOKUP(SessionMovements[[#This Row],[MovementID]], MovementLibrary[MovementID], MovementLibrary[Unit], "")
)</f>
        <v>sec</v>
      </c>
      <c r="F4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0">
        <v>3</v>
      </c>
      <c r="H480" t="s">
        <v>1099</v>
      </c>
      <c r="L480" s="5" t="str">
        <f>IF(COUNTIF(Sessions[SessionID],SessionMovements[[#This Row],[SessionID]])=0,"❌ Missing","✔ OK")</f>
        <v>✔ OK</v>
      </c>
    </row>
    <row r="481" spans="1:12" x14ac:dyDescent="0.3">
      <c r="A481" s="17" t="s">
        <v>1104</v>
      </c>
      <c r="B481" t="s">
        <v>690</v>
      </c>
      <c r="C481" t="str">
        <f>IF(SessionMovements[[#This Row],[MovementID]]="","",
   _xlfn.XLOOKUP(SessionMovements[[#This Row],[MovementID]],MovementLibrary[MovementID],MovementLibrary[Name],"")
)</f>
        <v>Chest-to-Bar Negative</v>
      </c>
      <c r="D481" s="5" t="str">
        <f>IF(SessionMovements[[#This Row],[MovementID]]="","",
   _xlfn.XLOOKUP(SessionMovements[[#This Row],[MovementID]], MovementLibrary[MovementID], MovementLibrary[Modality], "")
)</f>
        <v>Gymnastics</v>
      </c>
      <c r="E481" s="5" t="str">
        <f>IF(SessionMovements[[#This Row],[MovementID]]="","",
   _xlfn.XLOOKUP(SessionMovements[[#This Row],[MovementID]], MovementLibrary[MovementID], MovementLibrary[Unit], "")
)</f>
        <v>reps</v>
      </c>
      <c r="F4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1">
        <v>3</v>
      </c>
      <c r="H481">
        <v>4</v>
      </c>
      <c r="K481" t="s">
        <v>1106</v>
      </c>
      <c r="L481" s="5" t="str">
        <f>IF(COUNTIF(Sessions[SessionID],SessionMovements[[#This Row],[SessionID]])=0,"❌ Missing","✔ OK")</f>
        <v>✔ OK</v>
      </c>
    </row>
    <row r="482" spans="1:12" x14ac:dyDescent="0.3">
      <c r="A482" s="17" t="s">
        <v>1104</v>
      </c>
      <c r="B482" t="s">
        <v>527</v>
      </c>
      <c r="C482" t="str">
        <f>IF(SessionMovements[[#This Row],[MovementID]]="","",
   _xlfn.XLOOKUP(SessionMovements[[#This Row],[MovementID]],MovementLibrary[MovementID],MovementLibrary[Name],"")
)</f>
        <v>L-Sit Hold</v>
      </c>
      <c r="D482" s="5" t="str">
        <f>IF(SessionMovements[[#This Row],[MovementID]]="","",
   _xlfn.XLOOKUP(SessionMovements[[#This Row],[MovementID]], MovementLibrary[MovementID], MovementLibrary[Modality], "")
)</f>
        <v>Gymnastics</v>
      </c>
      <c r="E482" s="5" t="str">
        <f>IF(SessionMovements[[#This Row],[MovementID]]="","",
   _xlfn.XLOOKUP(SessionMovements[[#This Row],[MovementID]], MovementLibrary[MovementID], MovementLibrary[Unit], "")
)</f>
        <v>sec</v>
      </c>
      <c r="F4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2">
        <v>3</v>
      </c>
      <c r="H482" t="s">
        <v>1063</v>
      </c>
      <c r="L482" s="5" t="str">
        <f>IF(COUNTIF(Sessions[SessionID],SessionMovements[[#This Row],[SessionID]])=0,"❌ Missing","✔ OK")</f>
        <v>✔ OK</v>
      </c>
    </row>
    <row r="483" spans="1:12" x14ac:dyDescent="0.3">
      <c r="A483" s="17" t="s">
        <v>1104</v>
      </c>
      <c r="B483" t="s">
        <v>256</v>
      </c>
      <c r="C483" t="str">
        <f>IF(SessionMovements[[#This Row],[MovementID]]="","",
   _xlfn.XLOOKUP(SessionMovements[[#This Row],[MovementID]],MovementLibrary[MovementID],MovementLibrary[Name],"")
)</f>
        <v>Bench Press</v>
      </c>
      <c r="D483" s="5" t="str">
        <f>IF(SessionMovements[[#This Row],[MovementID]]="","",
   _xlfn.XLOOKUP(SessionMovements[[#This Row],[MovementID]], MovementLibrary[MovementID], MovementLibrary[Modality], "")
)</f>
        <v>Barbell</v>
      </c>
      <c r="E483" s="5" t="str">
        <f>IF(SessionMovements[[#This Row],[MovementID]]="","",
   _xlfn.XLOOKUP(SessionMovements[[#This Row],[MovementID]], MovementLibrary[MovementID], MovementLibrary[Unit], "")
)</f>
        <v>kg</v>
      </c>
      <c r="F4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3">
        <v>4</v>
      </c>
      <c r="H483">
        <v>5</v>
      </c>
      <c r="J483">
        <v>75</v>
      </c>
      <c r="K483" t="s">
        <v>1077</v>
      </c>
      <c r="L483" s="5" t="str">
        <f>IF(COUNTIF(Sessions[SessionID],SessionMovements[[#This Row],[SessionID]])=0,"❌ Missing","✔ OK")</f>
        <v>✔ OK</v>
      </c>
    </row>
    <row r="484" spans="1:12" x14ac:dyDescent="0.3">
      <c r="A484" s="17" t="s">
        <v>1104</v>
      </c>
      <c r="B484" t="s">
        <v>1474</v>
      </c>
      <c r="C484" t="str">
        <f>IF(SessionMovements[[#This Row],[MovementID]]="","",
   _xlfn.XLOOKUP(SessionMovements[[#This Row],[MovementID]],MovementLibrary[MovementID],MovementLibrary[Name],"")
)</f>
        <v>TTB and Thrusters</v>
      </c>
      <c r="D484" s="5" t="str">
        <f>IF(SessionMovements[[#This Row],[MovementID]]="","",
   _xlfn.XLOOKUP(SessionMovements[[#This Row],[MovementID]], MovementLibrary[MovementID], MovementLibrary[Modality], "")
)</f>
        <v>Open Prep</v>
      </c>
      <c r="E484" s="5" t="str">
        <f>IF(SessionMovements[[#This Row],[MovementID]]="","",
   _xlfn.XLOOKUP(SessionMovements[[#This Row],[MovementID]], MovementLibrary[MovementID], MovementLibrary[Unit], "")
)</f>
        <v>sec</v>
      </c>
      <c r="F4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4" t="s">
        <v>885</v>
      </c>
      <c r="H484" t="s">
        <v>1478</v>
      </c>
      <c r="L484" s="5" t="str">
        <f>IF(COUNTIF(Sessions[SessionID],SessionMovements[[#This Row],[SessionID]])=0,"❌ Missing","✔ OK")</f>
        <v>✔ OK</v>
      </c>
    </row>
    <row r="485" spans="1:12" x14ac:dyDescent="0.3">
      <c r="A485" s="17" t="s">
        <v>1107</v>
      </c>
      <c r="B485" t="s">
        <v>394</v>
      </c>
      <c r="C485" t="str">
        <f>IF(SessionMovements[[#This Row],[MovementID]]="","",
   _xlfn.XLOOKUP(SessionMovements[[#This Row],[MovementID]],MovementLibrary[MovementID],MovementLibrary[Name],"")
)</f>
        <v>Chest-to-Bar Pull-Up</v>
      </c>
      <c r="D485" s="5" t="str">
        <f>IF(SessionMovements[[#This Row],[MovementID]]="","",
   _xlfn.XLOOKUP(SessionMovements[[#This Row],[MovementID]], MovementLibrary[MovementID], MovementLibrary[Modality], "")
)</f>
        <v>Gymnastics</v>
      </c>
      <c r="E485" s="5" t="str">
        <f>IF(SessionMovements[[#This Row],[MovementID]]="","",
   _xlfn.XLOOKUP(SessionMovements[[#This Row],[MovementID]], MovementLibrary[MovementID], MovementLibrary[Unit], "")
)</f>
        <v>reps</v>
      </c>
      <c r="F4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5">
        <v>5</v>
      </c>
      <c r="H485">
        <v>3</v>
      </c>
      <c r="K485" t="s">
        <v>1097</v>
      </c>
      <c r="L485" s="5" t="str">
        <f>IF(COUNTIF(Sessions[SessionID],SessionMovements[[#This Row],[SessionID]])=0,"❌ Missing","✔ OK")</f>
        <v>✔ OK</v>
      </c>
    </row>
    <row r="486" spans="1:12" x14ac:dyDescent="0.3">
      <c r="A486" s="17" t="s">
        <v>1107</v>
      </c>
      <c r="B486" t="s">
        <v>684</v>
      </c>
      <c r="C486" t="str">
        <f>IF(SessionMovements[[#This Row],[MovementID]]="","",
   _xlfn.XLOOKUP(SessionMovements[[#This Row],[MovementID]],MovementLibrary[MovementID],MovementLibrary[Name],"")
)</f>
        <v>Weighted Pull-Up</v>
      </c>
      <c r="D486" s="5" t="str">
        <f>IF(SessionMovements[[#This Row],[MovementID]]="","",
   _xlfn.XLOOKUP(SessionMovements[[#This Row],[MovementID]], MovementLibrary[MovementID], MovementLibrary[Modality], "")
)</f>
        <v>Gymnastics</v>
      </c>
      <c r="E486" s="5" t="str">
        <f>IF(SessionMovements[[#This Row],[MovementID]]="","",
   _xlfn.XLOOKUP(SessionMovements[[#This Row],[MovementID]], MovementLibrary[MovementID], MovementLibrary[Unit], "")
)</f>
        <v>kg</v>
      </c>
      <c r="F4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6">
        <v>5</v>
      </c>
      <c r="H486">
        <v>3</v>
      </c>
      <c r="K486" t="s">
        <v>1098</v>
      </c>
      <c r="L486" s="5" t="str">
        <f>IF(COUNTIF(Sessions[SessionID],SessionMovements[[#This Row],[SessionID]])=0,"❌ Missing","✔ OK")</f>
        <v>✔ OK</v>
      </c>
    </row>
    <row r="487" spans="1:12" x14ac:dyDescent="0.3">
      <c r="A487" s="17" t="s">
        <v>1107</v>
      </c>
      <c r="B487" t="s">
        <v>687</v>
      </c>
      <c r="C487" t="str">
        <f>IF(SessionMovements[[#This Row],[MovementID]]="","",
   _xlfn.XLOOKUP(SessionMovements[[#This Row],[MovementID]],MovementLibrary[MovementID],MovementLibrary[Name],"")
)</f>
        <v>Chest-to-Bar Hold</v>
      </c>
      <c r="D487" s="5" t="str">
        <f>IF(SessionMovements[[#This Row],[MovementID]]="","",
   _xlfn.XLOOKUP(SessionMovements[[#This Row],[MovementID]], MovementLibrary[MovementID], MovementLibrary[Modality], "")
)</f>
        <v>Gymnastics</v>
      </c>
      <c r="E487" s="5" t="str">
        <f>IF(SessionMovements[[#This Row],[MovementID]]="","",
   _xlfn.XLOOKUP(SessionMovements[[#This Row],[MovementID]], MovementLibrary[MovementID], MovementLibrary[Unit], "")
)</f>
        <v>sec</v>
      </c>
      <c r="F4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7">
        <v>3</v>
      </c>
      <c r="H487" t="s">
        <v>1099</v>
      </c>
      <c r="L487" s="5" t="str">
        <f>IF(COUNTIF(Sessions[SessionID],SessionMovements[[#This Row],[SessionID]])=0,"❌ Missing","✔ OK")</f>
        <v>✔ OK</v>
      </c>
    </row>
    <row r="488" spans="1:12" x14ac:dyDescent="0.3">
      <c r="A488" s="17" t="s">
        <v>1107</v>
      </c>
      <c r="B488" t="s">
        <v>530</v>
      </c>
      <c r="C488" t="str">
        <f>IF(SessionMovements[[#This Row],[MovementID]]="","",
   _xlfn.XLOOKUP(SessionMovements[[#This Row],[MovementID]],MovementLibrary[MovementID],MovementLibrary[Name],"")
)</f>
        <v>Hollow Hold</v>
      </c>
      <c r="D488" s="5" t="str">
        <f>IF(SessionMovements[[#This Row],[MovementID]]="","",
   _xlfn.XLOOKUP(SessionMovements[[#This Row],[MovementID]], MovementLibrary[MovementID], MovementLibrary[Modality], "")
)</f>
        <v>Gymnastics</v>
      </c>
      <c r="E488" s="5" t="str">
        <f>IF(SessionMovements[[#This Row],[MovementID]]="","",
   _xlfn.XLOOKUP(SessionMovements[[#This Row],[MovementID]], MovementLibrary[MovementID], MovementLibrary[Unit], "")
)</f>
        <v>sec</v>
      </c>
      <c r="F4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8">
        <v>3</v>
      </c>
      <c r="H488" t="s">
        <v>1063</v>
      </c>
      <c r="L488" s="5" t="str">
        <f>IF(COUNTIF(Sessions[SessionID],SessionMovements[[#This Row],[SessionID]])=0,"❌ Missing","✔ OK")</f>
        <v>✔ OK</v>
      </c>
    </row>
    <row r="489" spans="1:12" x14ac:dyDescent="0.3">
      <c r="A489" s="17" t="s">
        <v>1107</v>
      </c>
      <c r="B489" t="s">
        <v>256</v>
      </c>
      <c r="C489" t="str">
        <f>IF(SessionMovements[[#This Row],[MovementID]]="","",
   _xlfn.XLOOKUP(SessionMovements[[#This Row],[MovementID]],MovementLibrary[MovementID],MovementLibrary[Name],"")
)</f>
        <v>Bench Press</v>
      </c>
      <c r="D489" s="5" t="str">
        <f>IF(SessionMovements[[#This Row],[MovementID]]="","",
   _xlfn.XLOOKUP(SessionMovements[[#This Row],[MovementID]], MovementLibrary[MovementID], MovementLibrary[Modality], "")
)</f>
        <v>Barbell</v>
      </c>
      <c r="E489" s="5" t="str">
        <f>IF(SessionMovements[[#This Row],[MovementID]]="","",
   _xlfn.XLOOKUP(SessionMovements[[#This Row],[MovementID]], MovementLibrary[MovementID], MovementLibrary[Unit], "")
)</f>
        <v>kg</v>
      </c>
      <c r="F4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89">
        <v>4</v>
      </c>
      <c r="H489">
        <v>5</v>
      </c>
      <c r="J489">
        <v>65</v>
      </c>
      <c r="K489" t="s">
        <v>1065</v>
      </c>
      <c r="L489" s="5" t="str">
        <f>IF(COUNTIF(Sessions[SessionID],SessionMovements[[#This Row],[SessionID]])=0,"❌ Missing","✔ OK")</f>
        <v>✔ OK</v>
      </c>
    </row>
    <row r="490" spans="1:12" x14ac:dyDescent="0.3">
      <c r="A490" s="17" t="s">
        <v>1107</v>
      </c>
      <c r="B490" t="s">
        <v>275</v>
      </c>
      <c r="C490" t="str">
        <f>IF(SessionMovements[[#This Row],[MovementID]]="","",
   _xlfn.XLOOKUP(SessionMovements[[#This Row],[MovementID]],MovementLibrary[MovementID],MovementLibrary[Name],"")
)</f>
        <v>Power Snatch</v>
      </c>
      <c r="D490" s="5" t="str">
        <f>IF(SessionMovements[[#This Row],[MovementID]]="","",
   _xlfn.XLOOKUP(SessionMovements[[#This Row],[MovementID]], MovementLibrary[MovementID], MovementLibrary[Modality], "")
)</f>
        <v>Barbell</v>
      </c>
      <c r="E490" s="5" t="str">
        <f>IF(SessionMovements[[#This Row],[MovementID]]="","",
   _xlfn.XLOOKUP(SessionMovements[[#This Row],[MovementID]], MovementLibrary[MovementID], MovementLibrary[Unit], "")
)</f>
        <v>kg</v>
      </c>
      <c r="F4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0" t="s">
        <v>885</v>
      </c>
      <c r="H490">
        <v>3</v>
      </c>
      <c r="K490" t="s">
        <v>962</v>
      </c>
      <c r="L490" s="5" t="str">
        <f>IF(COUNTIF(Sessions[SessionID],SessionMovements[[#This Row],[SessionID]])=0,"❌ Missing","✔ OK")</f>
        <v>✔ OK</v>
      </c>
    </row>
    <row r="491" spans="1:12" x14ac:dyDescent="0.3">
      <c r="A491" s="17" t="s">
        <v>1108</v>
      </c>
      <c r="B491" t="s">
        <v>699</v>
      </c>
      <c r="C491" t="str">
        <f>IF(SessionMovements[[#This Row],[MovementID]]="","",
   _xlfn.XLOOKUP(SessionMovements[[#This Row],[MovementID]],MovementLibrary[MovementID],MovementLibrary[Name],"")
)</f>
        <v>Bar MU Transition – Foot/Box Assist</v>
      </c>
      <c r="D491" s="5" t="str">
        <f>IF(SessionMovements[[#This Row],[MovementID]]="","",
   _xlfn.XLOOKUP(SessionMovements[[#This Row],[MovementID]], MovementLibrary[MovementID], MovementLibrary[Modality], "")
)</f>
        <v>Gymnastics</v>
      </c>
      <c r="E491" s="5" t="str">
        <f>IF(SessionMovements[[#This Row],[MovementID]]="","",
   _xlfn.XLOOKUP(SessionMovements[[#This Row],[MovementID]], MovementLibrary[MovementID], MovementLibrary[Unit], "")
)</f>
        <v>reps</v>
      </c>
      <c r="F4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1">
        <v>5</v>
      </c>
      <c r="H491">
        <v>1</v>
      </c>
      <c r="K491" t="s">
        <v>1101</v>
      </c>
      <c r="L491" s="5" t="str">
        <f>IF(COUNTIF(Sessions[SessionID],SessionMovements[[#This Row],[SessionID]])=0,"❌ Missing","✔ OK")</f>
        <v>✔ OK</v>
      </c>
    </row>
    <row r="492" spans="1:12" x14ac:dyDescent="0.3">
      <c r="A492" s="17" t="s">
        <v>1108</v>
      </c>
      <c r="B492" t="s">
        <v>693</v>
      </c>
      <c r="C492" t="str">
        <f>IF(SessionMovements[[#This Row],[MovementID]]="","",
   _xlfn.XLOOKUP(SessionMovements[[#This Row],[MovementID]],MovementLibrary[MovementID],MovementLibrary[Name],"")
)</f>
        <v>Straight-Bar Dip</v>
      </c>
      <c r="D492" s="5" t="str">
        <f>IF(SessionMovements[[#This Row],[MovementID]]="","",
   _xlfn.XLOOKUP(SessionMovements[[#This Row],[MovementID]], MovementLibrary[MovementID], MovementLibrary[Modality], "")
)</f>
        <v>Gymnastics</v>
      </c>
      <c r="E492" s="5" t="str">
        <f>IF(SessionMovements[[#This Row],[MovementID]]="","",
   _xlfn.XLOOKUP(SessionMovements[[#This Row],[MovementID]], MovementLibrary[MovementID], MovementLibrary[Unit], "")
)</f>
        <v>reps</v>
      </c>
      <c r="F4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2">
        <v>3</v>
      </c>
      <c r="H492">
        <v>2</v>
      </c>
      <c r="K492" t="s">
        <v>1102</v>
      </c>
      <c r="L492" s="5" t="str">
        <f>IF(COUNTIF(Sessions[SessionID],SessionMovements[[#This Row],[SessionID]])=0,"❌ Missing","✔ OK")</f>
        <v>✔ OK</v>
      </c>
    </row>
    <row r="493" spans="1:12" x14ac:dyDescent="0.3">
      <c r="A493" s="17" t="s">
        <v>1108</v>
      </c>
      <c r="B493" t="s">
        <v>696</v>
      </c>
      <c r="C493" t="str">
        <f>IF(SessionMovements[[#This Row],[MovementID]]="","",
   _xlfn.XLOOKUP(SessionMovements[[#This Row],[MovementID]],MovementLibrary[MovementID],MovementLibrary[Name],"")
)</f>
        <v>Bar Top Support Hold</v>
      </c>
      <c r="D493" s="5" t="str">
        <f>IF(SessionMovements[[#This Row],[MovementID]]="","",
   _xlfn.XLOOKUP(SessionMovements[[#This Row],[MovementID]], MovementLibrary[MovementID], MovementLibrary[Modality], "")
)</f>
        <v>Gymnastics</v>
      </c>
      <c r="E493" s="5" t="str">
        <f>IF(SessionMovements[[#This Row],[MovementID]]="","",
   _xlfn.XLOOKUP(SessionMovements[[#This Row],[MovementID]], MovementLibrary[MovementID], MovementLibrary[Unit], "")
)</f>
        <v>sec</v>
      </c>
      <c r="F4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3">
        <v>3</v>
      </c>
      <c r="H493" t="s">
        <v>1063</v>
      </c>
      <c r="L493" s="5" t="str">
        <f>IF(COUNTIF(Sessions[SessionID],SessionMovements[[#This Row],[SessionID]])=0,"❌ Missing","✔ OK")</f>
        <v>✔ OK</v>
      </c>
    </row>
    <row r="494" spans="1:12" x14ac:dyDescent="0.3">
      <c r="A494" s="17" t="s">
        <v>1108</v>
      </c>
      <c r="B494" t="s">
        <v>702</v>
      </c>
      <c r="C494" t="str">
        <f>IF(SessionMovements[[#This Row],[MovementID]]="","",
   _xlfn.XLOOKUP(SessionMovements[[#This Row],[MovementID]],MovementLibrary[MovementID],MovementLibrary[Name],"")
)</f>
        <v>Bar MU Eccentric</v>
      </c>
      <c r="D494" s="5" t="str">
        <f>IF(SessionMovements[[#This Row],[MovementID]]="","",
   _xlfn.XLOOKUP(SessionMovements[[#This Row],[MovementID]], MovementLibrary[MovementID], MovementLibrary[Modality], "")
)</f>
        <v>Gymnastics</v>
      </c>
      <c r="E494" s="5" t="str">
        <f>IF(SessionMovements[[#This Row],[MovementID]]="","",
   _xlfn.XLOOKUP(SessionMovements[[#This Row],[MovementID]], MovementLibrary[MovementID], MovementLibrary[Unit], "")
)</f>
        <v>reps</v>
      </c>
      <c r="F4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4">
        <v>2</v>
      </c>
      <c r="H494">
        <v>2</v>
      </c>
      <c r="K494" t="s">
        <v>1103</v>
      </c>
      <c r="L494" s="5" t="str">
        <f>IF(COUNTIF(Sessions[SessionID],SessionMovements[[#This Row],[SessionID]])=0,"❌ Missing","✔ OK")</f>
        <v>✔ OK</v>
      </c>
    </row>
    <row r="495" spans="1:12" x14ac:dyDescent="0.3">
      <c r="A495" s="17" t="s">
        <v>1108</v>
      </c>
      <c r="B495" t="s">
        <v>1474</v>
      </c>
      <c r="C495" t="str">
        <f>IF(SessionMovements[[#This Row],[MovementID]]="","",
   _xlfn.XLOOKUP(SessionMovements[[#This Row],[MovementID]],MovementLibrary[MovementID],MovementLibrary[Name],"")
)</f>
        <v>TTB and Thrusters</v>
      </c>
      <c r="D495" s="5" t="str">
        <f>IF(SessionMovements[[#This Row],[MovementID]]="","",
   _xlfn.XLOOKUP(SessionMovements[[#This Row],[MovementID]], MovementLibrary[MovementID], MovementLibrary[Modality], "")
)</f>
        <v>Open Prep</v>
      </c>
      <c r="E495" s="5" t="str">
        <f>IF(SessionMovements[[#This Row],[MovementID]]="","",
   _xlfn.XLOOKUP(SessionMovements[[#This Row],[MovementID]], MovementLibrary[MovementID], MovementLibrary[Unit], "")
)</f>
        <v>sec</v>
      </c>
      <c r="F4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5" t="s">
        <v>885</v>
      </c>
      <c r="H495" t="s">
        <v>1478</v>
      </c>
      <c r="K495" t="s">
        <v>1081</v>
      </c>
      <c r="L495" s="5" t="str">
        <f>IF(COUNTIF(Sessions[SessionID],SessionMovements[[#This Row],[SessionID]])=0,"❌ Missing","✔ OK")</f>
        <v>✔ OK</v>
      </c>
    </row>
    <row r="496" spans="1:12" x14ac:dyDescent="0.3">
      <c r="A496" s="17" t="s">
        <v>1109</v>
      </c>
      <c r="B496" t="s">
        <v>394</v>
      </c>
      <c r="C496" t="str">
        <f>IF(SessionMovements[[#This Row],[MovementID]]="","",
   _xlfn.XLOOKUP(SessionMovements[[#This Row],[MovementID]],MovementLibrary[MovementID],MovementLibrary[Name],"")
)</f>
        <v>Chest-to-Bar Pull-Up</v>
      </c>
      <c r="D496" s="5" t="str">
        <f>IF(SessionMovements[[#This Row],[MovementID]]="","",
   _xlfn.XLOOKUP(SessionMovements[[#This Row],[MovementID]], MovementLibrary[MovementID], MovementLibrary[Modality], "")
)</f>
        <v>Gymnastics</v>
      </c>
      <c r="E496" s="5" t="str">
        <f>IF(SessionMovements[[#This Row],[MovementID]]="","",
   _xlfn.XLOOKUP(SessionMovements[[#This Row],[MovementID]], MovementLibrary[MovementID], MovementLibrary[Unit], "")
)</f>
        <v>reps</v>
      </c>
      <c r="F4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6">
        <v>6</v>
      </c>
      <c r="H496">
        <v>3</v>
      </c>
      <c r="K496" t="s">
        <v>1105</v>
      </c>
      <c r="L496" s="5" t="str">
        <f>IF(COUNTIF(Sessions[SessionID],SessionMovements[[#This Row],[SessionID]])=0,"❌ Missing","✔ OK")</f>
        <v>✔ OK</v>
      </c>
    </row>
    <row r="497" spans="1:12" x14ac:dyDescent="0.3">
      <c r="A497" s="17" t="s">
        <v>1109</v>
      </c>
      <c r="B497" t="s">
        <v>687</v>
      </c>
      <c r="C497" t="str">
        <f>IF(SessionMovements[[#This Row],[MovementID]]="","",
   _xlfn.XLOOKUP(SessionMovements[[#This Row],[MovementID]],MovementLibrary[MovementID],MovementLibrary[Name],"")
)</f>
        <v>Chest-to-Bar Hold</v>
      </c>
      <c r="D497" s="5" t="str">
        <f>IF(SessionMovements[[#This Row],[MovementID]]="","",
   _xlfn.XLOOKUP(SessionMovements[[#This Row],[MovementID]], MovementLibrary[MovementID], MovementLibrary[Modality], "")
)</f>
        <v>Gymnastics</v>
      </c>
      <c r="E497" s="5" t="str">
        <f>IF(SessionMovements[[#This Row],[MovementID]]="","",
   _xlfn.XLOOKUP(SessionMovements[[#This Row],[MovementID]], MovementLibrary[MovementID], MovementLibrary[Unit], "")
)</f>
        <v>sec</v>
      </c>
      <c r="F4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7">
        <v>3</v>
      </c>
      <c r="H497" t="s">
        <v>1099</v>
      </c>
      <c r="L497" s="5" t="str">
        <f>IF(COUNTIF(Sessions[SessionID],SessionMovements[[#This Row],[SessionID]])=0,"❌ Missing","✔ OK")</f>
        <v>✔ OK</v>
      </c>
    </row>
    <row r="498" spans="1:12" x14ac:dyDescent="0.3">
      <c r="A498" s="17" t="s">
        <v>1109</v>
      </c>
      <c r="B498" t="s">
        <v>690</v>
      </c>
      <c r="C498" t="str">
        <f>IF(SessionMovements[[#This Row],[MovementID]]="","",
   _xlfn.XLOOKUP(SessionMovements[[#This Row],[MovementID]],MovementLibrary[MovementID],MovementLibrary[Name],"")
)</f>
        <v>Chest-to-Bar Negative</v>
      </c>
      <c r="D498" s="5" t="str">
        <f>IF(SessionMovements[[#This Row],[MovementID]]="","",
   _xlfn.XLOOKUP(SessionMovements[[#This Row],[MovementID]], MovementLibrary[MovementID], MovementLibrary[Modality], "")
)</f>
        <v>Gymnastics</v>
      </c>
      <c r="E498" s="5" t="str">
        <f>IF(SessionMovements[[#This Row],[MovementID]]="","",
   _xlfn.XLOOKUP(SessionMovements[[#This Row],[MovementID]], MovementLibrary[MovementID], MovementLibrary[Unit], "")
)</f>
        <v>reps</v>
      </c>
      <c r="F4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8">
        <v>3</v>
      </c>
      <c r="H498">
        <v>4</v>
      </c>
      <c r="K498" t="s">
        <v>1106</v>
      </c>
      <c r="L498" s="5" t="str">
        <f>IF(COUNTIF(Sessions[SessionID],SessionMovements[[#This Row],[SessionID]])=0,"❌ Missing","✔ OK")</f>
        <v>✔ OK</v>
      </c>
    </row>
    <row r="499" spans="1:12" x14ac:dyDescent="0.3">
      <c r="A499" s="17" t="s">
        <v>1109</v>
      </c>
      <c r="B499" t="s">
        <v>527</v>
      </c>
      <c r="C499" t="str">
        <f>IF(SessionMovements[[#This Row],[MovementID]]="","",
   _xlfn.XLOOKUP(SessionMovements[[#This Row],[MovementID]],MovementLibrary[MovementID],MovementLibrary[Name],"")
)</f>
        <v>L-Sit Hold</v>
      </c>
      <c r="D499" s="5" t="str">
        <f>IF(SessionMovements[[#This Row],[MovementID]]="","",
   _xlfn.XLOOKUP(SessionMovements[[#This Row],[MovementID]], MovementLibrary[MovementID], MovementLibrary[Modality], "")
)</f>
        <v>Gymnastics</v>
      </c>
      <c r="E499" s="5" t="str">
        <f>IF(SessionMovements[[#This Row],[MovementID]]="","",
   _xlfn.XLOOKUP(SessionMovements[[#This Row],[MovementID]], MovementLibrary[MovementID], MovementLibrary[Unit], "")
)</f>
        <v>sec</v>
      </c>
      <c r="F4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499">
        <v>3</v>
      </c>
      <c r="H499" t="s">
        <v>1063</v>
      </c>
      <c r="L499" s="5" t="str">
        <f>IF(COUNTIF(Sessions[SessionID],SessionMovements[[#This Row],[SessionID]])=0,"❌ Missing","✔ OK")</f>
        <v>✔ OK</v>
      </c>
    </row>
    <row r="500" spans="1:12" x14ac:dyDescent="0.3">
      <c r="A500" s="17" t="s">
        <v>1109</v>
      </c>
      <c r="B500" t="s">
        <v>256</v>
      </c>
      <c r="C500" t="str">
        <f>IF(SessionMovements[[#This Row],[MovementID]]="","",
   _xlfn.XLOOKUP(SessionMovements[[#This Row],[MovementID]],MovementLibrary[MovementID],MovementLibrary[Name],"")
)</f>
        <v>Bench Press</v>
      </c>
      <c r="D500" s="5" t="str">
        <f>IF(SessionMovements[[#This Row],[MovementID]]="","",
   _xlfn.XLOOKUP(SessionMovements[[#This Row],[MovementID]], MovementLibrary[MovementID], MovementLibrary[Modality], "")
)</f>
        <v>Barbell</v>
      </c>
      <c r="E500" s="5" t="str">
        <f>IF(SessionMovements[[#This Row],[MovementID]]="","",
   _xlfn.XLOOKUP(SessionMovements[[#This Row],[MovementID]], MovementLibrary[MovementID], MovementLibrary[Unit], "")
)</f>
        <v>kg</v>
      </c>
      <c r="F5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0">
        <v>3</v>
      </c>
      <c r="H500">
        <v>5</v>
      </c>
      <c r="J500">
        <v>65</v>
      </c>
      <c r="K500" t="s">
        <v>1077</v>
      </c>
      <c r="L500" s="5" t="str">
        <f>IF(COUNTIF(Sessions[SessionID],SessionMovements[[#This Row],[SessionID]])=0,"❌ Missing","✔ OK")</f>
        <v>✔ OK</v>
      </c>
    </row>
    <row r="501" spans="1:12" x14ac:dyDescent="0.3">
      <c r="A501" s="17" t="s">
        <v>1109</v>
      </c>
      <c r="B501" t="s">
        <v>1474</v>
      </c>
      <c r="C501" t="str">
        <f>IF(SessionMovements[[#This Row],[MovementID]]="","",
   _xlfn.XLOOKUP(SessionMovements[[#This Row],[MovementID]],MovementLibrary[MovementID],MovementLibrary[Name],"")
)</f>
        <v>TTB and Thrusters</v>
      </c>
      <c r="D501" s="5" t="str">
        <f>IF(SessionMovements[[#This Row],[MovementID]]="","",
   _xlfn.XLOOKUP(SessionMovements[[#This Row],[MovementID]], MovementLibrary[MovementID], MovementLibrary[Modality], "")
)</f>
        <v>Open Prep</v>
      </c>
      <c r="E501" s="5" t="str">
        <f>IF(SessionMovements[[#This Row],[MovementID]]="","",
   _xlfn.XLOOKUP(SessionMovements[[#This Row],[MovementID]], MovementLibrary[MovementID], MovementLibrary[Unit], "")
)</f>
        <v>sec</v>
      </c>
      <c r="F5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1" t="s">
        <v>885</v>
      </c>
      <c r="H501" t="s">
        <v>1478</v>
      </c>
      <c r="L501" s="5" t="str">
        <f>IF(COUNTIF(Sessions[SessionID],SessionMovements[[#This Row],[SessionID]])=0,"❌ Missing","✔ OK")</f>
        <v>✔ OK</v>
      </c>
    </row>
    <row r="502" spans="1:12" x14ac:dyDescent="0.3">
      <c r="A502" t="s">
        <v>1110</v>
      </c>
      <c r="B502" t="s">
        <v>298</v>
      </c>
      <c r="C502" t="str">
        <f>IF(SessionMovements[[#This Row],[MovementID]]="","",
   _xlfn.XLOOKUP(SessionMovements[[#This Row],[MovementID]],MovementLibrary[MovementID],MovementLibrary[Name],"")
)</f>
        <v>Back Squat</v>
      </c>
      <c r="D502" s="5" t="str">
        <f>IF(SessionMovements[[#This Row],[MovementID]]="","",
   _xlfn.XLOOKUP(SessionMovements[[#This Row],[MovementID]], MovementLibrary[MovementID], MovementLibrary[Modality], "")
)</f>
        <v>Barbell</v>
      </c>
      <c r="E502" s="5" t="str">
        <f>IF(SessionMovements[[#This Row],[MovementID]]="","",
   _xlfn.XLOOKUP(SessionMovements[[#This Row],[MovementID]], MovementLibrary[MovementID], MovementLibrary[Unit], "")
)</f>
        <v>kg</v>
      </c>
      <c r="F5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2">
        <v>4</v>
      </c>
      <c r="H502">
        <v>5</v>
      </c>
      <c r="J502">
        <v>73</v>
      </c>
      <c r="K502" t="s">
        <v>1111</v>
      </c>
      <c r="L502" s="5" t="str">
        <f>IF(COUNTIF(Sessions[SessionID],SessionMovements[[#This Row],[SessionID]])=0,"❌ Missing","✔ OK")</f>
        <v>✔ OK</v>
      </c>
    </row>
    <row r="503" spans="1:12" x14ac:dyDescent="0.3">
      <c r="A503" t="s">
        <v>1110</v>
      </c>
      <c r="B503" t="s">
        <v>298</v>
      </c>
      <c r="C503" t="str">
        <f>IF(SessionMovements[[#This Row],[MovementID]]="","",
   _xlfn.XLOOKUP(SessionMovements[[#This Row],[MovementID]],MovementLibrary[MovementID],MovementLibrary[Name],"")
)</f>
        <v>Back Squat</v>
      </c>
      <c r="D503" s="5" t="str">
        <f>IF(SessionMovements[[#This Row],[MovementID]]="","",
   _xlfn.XLOOKUP(SessionMovements[[#This Row],[MovementID]], MovementLibrary[MovementID], MovementLibrary[Modality], "")
)</f>
        <v>Barbell</v>
      </c>
      <c r="E503" s="5" t="str">
        <f>IF(SessionMovements[[#This Row],[MovementID]]="","",
   _xlfn.XLOOKUP(SessionMovements[[#This Row],[MovementID]], MovementLibrary[MovementID], MovementLibrary[Unit], "")
)</f>
        <v>kg</v>
      </c>
      <c r="F5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3">
        <v>3</v>
      </c>
      <c r="H503">
        <v>10</v>
      </c>
      <c r="J503">
        <v>61</v>
      </c>
      <c r="K503" t="s">
        <v>1112</v>
      </c>
      <c r="L503" s="5" t="str">
        <f>IF(COUNTIF(Sessions[SessionID],SessionMovements[[#This Row],[SessionID]])=0,"❌ Missing","✔ OK")</f>
        <v>✔ OK</v>
      </c>
    </row>
    <row r="504" spans="1:12" x14ac:dyDescent="0.3">
      <c r="A504" t="s">
        <v>1110</v>
      </c>
      <c r="B504" t="s">
        <v>309</v>
      </c>
      <c r="C504" t="str">
        <f>IF(SessionMovements[[#This Row],[MovementID]]="","",
   _xlfn.XLOOKUP(SessionMovements[[#This Row],[MovementID]],MovementLibrary[MovementID],MovementLibrary[Name],"")
)</f>
        <v>Romanian Deadlift</v>
      </c>
      <c r="D504" s="5" t="str">
        <f>IF(SessionMovements[[#This Row],[MovementID]]="","",
   _xlfn.XLOOKUP(SessionMovements[[#This Row],[MovementID]], MovementLibrary[MovementID], MovementLibrary[Modality], "")
)</f>
        <v>Barbell</v>
      </c>
      <c r="E504" s="5" t="str">
        <f>IF(SessionMovements[[#This Row],[MovementID]]="","",
   _xlfn.XLOOKUP(SessionMovements[[#This Row],[MovementID]], MovementLibrary[MovementID], MovementLibrary[Unit], "")
)</f>
        <v>kg</v>
      </c>
      <c r="F5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4">
        <v>4</v>
      </c>
      <c r="H504">
        <v>8</v>
      </c>
      <c r="K504" t="s">
        <v>1113</v>
      </c>
      <c r="L504" s="5" t="str">
        <f>IF(COUNTIF(Sessions[SessionID],SessionMovements[[#This Row],[SessionID]])=0,"❌ Missing","✔ OK")</f>
        <v>✔ OK</v>
      </c>
    </row>
    <row r="505" spans="1:12" x14ac:dyDescent="0.3">
      <c r="A505" t="s">
        <v>1110</v>
      </c>
      <c r="B505" t="s">
        <v>325</v>
      </c>
      <c r="C505" t="str">
        <f>IF(SessionMovements[[#This Row],[MovementID]]="","",
   _xlfn.XLOOKUP(SessionMovements[[#This Row],[MovementID]],MovementLibrary[MovementID],MovementLibrary[Name],"")
)</f>
        <v>Split Squat</v>
      </c>
      <c r="D505" s="5" t="str">
        <f>IF(SessionMovements[[#This Row],[MovementID]]="","",
   _xlfn.XLOOKUP(SessionMovements[[#This Row],[MovementID]], MovementLibrary[MovementID], MovementLibrary[Modality], "")
)</f>
        <v>Barbell</v>
      </c>
      <c r="E505" s="5" t="str">
        <f>IF(SessionMovements[[#This Row],[MovementID]]="","",
   _xlfn.XLOOKUP(SessionMovements[[#This Row],[MovementID]], MovementLibrary[MovementID], MovementLibrary[Unit], "")
)</f>
        <v>kg</v>
      </c>
      <c r="F5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5">
        <v>4</v>
      </c>
      <c r="H505">
        <v>10</v>
      </c>
      <c r="K505" t="s">
        <v>1114</v>
      </c>
      <c r="L505" s="5" t="str">
        <f>IF(COUNTIF(Sessions[SessionID],SessionMovements[[#This Row],[SessionID]])=0,"❌ Missing","✔ OK")</f>
        <v>✔ OK</v>
      </c>
    </row>
    <row r="506" spans="1:12" x14ac:dyDescent="0.3">
      <c r="A506" t="s">
        <v>1110</v>
      </c>
      <c r="B506" t="s">
        <v>717</v>
      </c>
      <c r="C506" t="str">
        <f>IF(SessionMovements[[#This Row],[MovementID]]="","",
   _xlfn.XLOOKUP(SessionMovements[[#This Row],[MovementID]],MovementLibrary[MovementID],MovementLibrary[Name],"")
)</f>
        <v>Broad Jump</v>
      </c>
      <c r="D506" s="5" t="str">
        <f>IF(SessionMovements[[#This Row],[MovementID]]="","",
   _xlfn.XLOOKUP(SessionMovements[[#This Row],[MovementID]], MovementLibrary[MovementID], MovementLibrary[Modality], "")
)</f>
        <v>Plyometric</v>
      </c>
      <c r="E506" s="5" t="str">
        <f>IF(SessionMovements[[#This Row],[MovementID]]="","",
   _xlfn.XLOOKUP(SessionMovements[[#This Row],[MovementID]], MovementLibrary[MovementID], MovementLibrary[Unit], "")
)</f>
        <v>reps</v>
      </c>
      <c r="F5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6">
        <v>5</v>
      </c>
      <c r="H506">
        <v>3</v>
      </c>
      <c r="K506" t="s">
        <v>1115</v>
      </c>
      <c r="L506" s="5" t="str">
        <f>IF(COUNTIF(Sessions[SessionID],SessionMovements[[#This Row],[SessionID]])=0,"❌ Missing","✔ OK")</f>
        <v>✔ OK</v>
      </c>
    </row>
    <row r="507" spans="1:12" x14ac:dyDescent="0.3">
      <c r="A507" t="s">
        <v>1110</v>
      </c>
      <c r="B507" t="s">
        <v>428</v>
      </c>
      <c r="C507" t="str">
        <f>IF(SessionMovements[[#This Row],[MovementID]]="","",
   _xlfn.XLOOKUP(SessionMovements[[#This Row],[MovementID]],MovementLibrary[MovementID],MovementLibrary[Name],"")
)</f>
        <v>AbMat Sit-Up</v>
      </c>
      <c r="D507" s="5" t="str">
        <f>IF(SessionMovements[[#This Row],[MovementID]]="","",
   _xlfn.XLOOKUP(SessionMovements[[#This Row],[MovementID]], MovementLibrary[MovementID], MovementLibrary[Modality], "")
)</f>
        <v>Gymnastics</v>
      </c>
      <c r="E507" s="5" t="str">
        <f>IF(SessionMovements[[#This Row],[MovementID]]="","",
   _xlfn.XLOOKUP(SessionMovements[[#This Row],[MovementID]], MovementLibrary[MovementID], MovementLibrary[Unit], "")
)</f>
        <v>reps</v>
      </c>
      <c r="F5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7">
        <v>3</v>
      </c>
      <c r="H507">
        <v>20</v>
      </c>
      <c r="L507" s="5" t="str">
        <f>IF(COUNTIF(Sessions[SessionID],SessionMovements[[#This Row],[SessionID]])=0,"❌ Missing","✔ OK")</f>
        <v>✔ OK</v>
      </c>
    </row>
    <row r="508" spans="1:12" x14ac:dyDescent="0.3">
      <c r="A508" t="s">
        <v>1116</v>
      </c>
      <c r="B508" t="s">
        <v>263</v>
      </c>
      <c r="C508" t="str">
        <f>IF(SessionMovements[[#This Row],[MovementID]]="","",
   _xlfn.XLOOKUP(SessionMovements[[#This Row],[MovementID]],MovementLibrary[MovementID],MovementLibrary[Name],"")
)</f>
        <v>Split Jerk</v>
      </c>
      <c r="D508" s="5" t="str">
        <f>IF(SessionMovements[[#This Row],[MovementID]]="","",
   _xlfn.XLOOKUP(SessionMovements[[#This Row],[MovementID]], MovementLibrary[MovementID], MovementLibrary[Modality], "")
)</f>
        <v>Barbell</v>
      </c>
      <c r="E508" s="5" t="str">
        <f>IF(SessionMovements[[#This Row],[MovementID]]="","",
   _xlfn.XLOOKUP(SessionMovements[[#This Row],[MovementID]], MovementLibrary[MovementID], MovementLibrary[Unit], "")
)</f>
        <v>kg</v>
      </c>
      <c r="F5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8">
        <v>5</v>
      </c>
      <c r="H508">
        <v>3</v>
      </c>
      <c r="J508">
        <v>72</v>
      </c>
      <c r="K508" t="s">
        <v>1117</v>
      </c>
      <c r="L508" s="5" t="str">
        <f>IF(COUNTIF(Sessions[SessionID],SessionMovements[[#This Row],[SessionID]])=0,"❌ Missing","✔ OK")</f>
        <v>✔ OK</v>
      </c>
    </row>
    <row r="509" spans="1:12" x14ac:dyDescent="0.3">
      <c r="A509" t="s">
        <v>1116</v>
      </c>
      <c r="B509" t="s">
        <v>292</v>
      </c>
      <c r="C509" t="str">
        <f>IF(SessionMovements[[#This Row],[MovementID]]="","",
   _xlfn.XLOOKUP(SessionMovements[[#This Row],[MovementID]],MovementLibrary[MovementID],MovementLibrary[Name],"")
)</f>
        <v>Push Press</v>
      </c>
      <c r="D509" s="5" t="str">
        <f>IF(SessionMovements[[#This Row],[MovementID]]="","",
   _xlfn.XLOOKUP(SessionMovements[[#This Row],[MovementID]], MovementLibrary[MovementID], MovementLibrary[Modality], "")
)</f>
        <v>Barbell</v>
      </c>
      <c r="E509" s="5" t="str">
        <f>IF(SessionMovements[[#This Row],[MovementID]]="","",
   _xlfn.XLOOKUP(SessionMovements[[#This Row],[MovementID]], MovementLibrary[MovementID], MovementLibrary[Unit], "")
)</f>
        <v>kg</v>
      </c>
      <c r="F5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09">
        <v>5</v>
      </c>
      <c r="H509">
        <v>6</v>
      </c>
      <c r="K509" t="s">
        <v>1118</v>
      </c>
      <c r="L509" s="5" t="str">
        <f>IF(COUNTIF(Sessions[SessionID],SessionMovements[[#This Row],[SessionID]])=0,"❌ Missing","✔ OK")</f>
        <v>✔ OK</v>
      </c>
    </row>
    <row r="510" spans="1:12" x14ac:dyDescent="0.3">
      <c r="A510" t="s">
        <v>1116</v>
      </c>
      <c r="B510" t="s">
        <v>256</v>
      </c>
      <c r="C510" t="str">
        <f>IF(SessionMovements[[#This Row],[MovementID]]="","",
   _xlfn.XLOOKUP(SessionMovements[[#This Row],[MovementID]],MovementLibrary[MovementID],MovementLibrary[Name],"")
)</f>
        <v>Bench Press</v>
      </c>
      <c r="D510" s="5" t="str">
        <f>IF(SessionMovements[[#This Row],[MovementID]]="","",
   _xlfn.XLOOKUP(SessionMovements[[#This Row],[MovementID]], MovementLibrary[MovementID], MovementLibrary[Modality], "")
)</f>
        <v>Barbell</v>
      </c>
      <c r="E510" s="5" t="str">
        <f>IF(SessionMovements[[#This Row],[MovementID]]="","",
   _xlfn.XLOOKUP(SessionMovements[[#This Row],[MovementID]], MovementLibrary[MovementID], MovementLibrary[Unit], "")
)</f>
        <v>kg</v>
      </c>
      <c r="F5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0">
        <v>4</v>
      </c>
      <c r="H510">
        <v>10</v>
      </c>
      <c r="K510" t="s">
        <v>1119</v>
      </c>
      <c r="L510" s="5" t="str">
        <f>IF(COUNTIF(Sessions[SessionID],SessionMovements[[#This Row],[SessionID]])=0,"❌ Missing","✔ OK")</f>
        <v>✔ OK</v>
      </c>
    </row>
    <row r="511" spans="1:12" x14ac:dyDescent="0.3">
      <c r="A511" t="s">
        <v>1116</v>
      </c>
      <c r="B511" t="s">
        <v>439</v>
      </c>
      <c r="C511" t="str">
        <f>IF(SessionMovements[[#This Row],[MovementID]]="","",
   _xlfn.XLOOKUP(SessionMovements[[#This Row],[MovementID]],MovementLibrary[MovementID],MovementLibrary[Name],"")
)</f>
        <v>Ring Push-Up</v>
      </c>
      <c r="D511" s="5" t="str">
        <f>IF(SessionMovements[[#This Row],[MovementID]]="","",
   _xlfn.XLOOKUP(SessionMovements[[#This Row],[MovementID]], MovementLibrary[MovementID], MovementLibrary[Modality], "")
)</f>
        <v>Gymnastics</v>
      </c>
      <c r="E511" s="5" t="str">
        <f>IF(SessionMovements[[#This Row],[MovementID]]="","",
   _xlfn.XLOOKUP(SessionMovements[[#This Row],[MovementID]], MovementLibrary[MovementID], MovementLibrary[Unit], "")
)</f>
        <v>reps</v>
      </c>
      <c r="F5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1">
        <v>4</v>
      </c>
      <c r="H511">
        <v>10</v>
      </c>
      <c r="K511" t="s">
        <v>1120</v>
      </c>
      <c r="L511" s="5" t="str">
        <f>IF(COUNTIF(Sessions[SessionID],SessionMovements[[#This Row],[SessionID]])=0,"❌ Missing","✔ OK")</f>
        <v>✔ OK</v>
      </c>
    </row>
    <row r="512" spans="1:12" x14ac:dyDescent="0.3">
      <c r="A512" t="s">
        <v>1116</v>
      </c>
      <c r="B512" t="s">
        <v>437</v>
      </c>
      <c r="C512" t="str">
        <f>IF(SessionMovements[[#This Row],[MovementID]]="","",
   _xlfn.XLOOKUP(SessionMovements[[#This Row],[MovementID]],MovementLibrary[MovementID],MovementLibrary[Name],"")
)</f>
        <v>Plank Hold</v>
      </c>
      <c r="D512" s="5" t="str">
        <f>IF(SessionMovements[[#This Row],[MovementID]]="","",
   _xlfn.XLOOKUP(SessionMovements[[#This Row],[MovementID]], MovementLibrary[MovementID], MovementLibrary[Modality], "")
)</f>
        <v>Gymnastics</v>
      </c>
      <c r="E512" s="5" t="str">
        <f>IF(SessionMovements[[#This Row],[MovementID]]="","",
   _xlfn.XLOOKUP(SessionMovements[[#This Row],[MovementID]], MovementLibrary[MovementID], MovementLibrary[Unit], "")
)</f>
        <v>sec</v>
      </c>
      <c r="F5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2">
        <v>3</v>
      </c>
      <c r="H512">
        <v>40</v>
      </c>
      <c r="K512" t="s">
        <v>1121</v>
      </c>
      <c r="L512" s="5" t="str">
        <f>IF(COUNTIF(Sessions[SessionID],SessionMovements[[#This Row],[SessionID]])=0,"❌ Missing","✔ OK")</f>
        <v>✔ OK</v>
      </c>
    </row>
    <row r="513" spans="1:12" x14ac:dyDescent="0.3">
      <c r="A513" t="s">
        <v>1122</v>
      </c>
      <c r="B513" t="s">
        <v>259</v>
      </c>
      <c r="C513" t="str">
        <f>IF(SessionMovements[[#This Row],[MovementID]]="","",
   _xlfn.XLOOKUP(SessionMovements[[#This Row],[MovementID]],MovementLibrary[MovementID],MovementLibrary[Name],"")
)</f>
        <v>Power Clean</v>
      </c>
      <c r="D513" s="5" t="str">
        <f>IF(SessionMovements[[#This Row],[MovementID]]="","",
   _xlfn.XLOOKUP(SessionMovements[[#This Row],[MovementID]], MovementLibrary[MovementID], MovementLibrary[Modality], "")
)</f>
        <v>Barbell</v>
      </c>
      <c r="E513" s="5" t="str">
        <f>IF(SessionMovements[[#This Row],[MovementID]]="","",
   _xlfn.XLOOKUP(SessionMovements[[#This Row],[MovementID]], MovementLibrary[MovementID], MovementLibrary[Unit], "")
)</f>
        <v>kg</v>
      </c>
      <c r="F5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3">
        <v>5</v>
      </c>
      <c r="H513">
        <v>3</v>
      </c>
      <c r="K513" t="s">
        <v>1123</v>
      </c>
      <c r="L513" s="5" t="str">
        <f>IF(COUNTIF(Sessions[SessionID],SessionMovements[[#This Row],[SessionID]])=0,"❌ Missing","✔ OK")</f>
        <v>✔ OK</v>
      </c>
    </row>
    <row r="514" spans="1:12" x14ac:dyDescent="0.3">
      <c r="A514" t="s">
        <v>1122</v>
      </c>
      <c r="B514" t="s">
        <v>553</v>
      </c>
      <c r="C514" t="str">
        <f>IF(SessionMovements[[#This Row],[MovementID]]="","",
   _xlfn.XLOOKUP(SessionMovements[[#This Row],[MovementID]],MovementLibrary[MovementID],MovementLibrary[Name],"")
)</f>
        <v>Deficit Deadlift</v>
      </c>
      <c r="D514" s="5" t="str">
        <f>IF(SessionMovements[[#This Row],[MovementID]]="","",
   _xlfn.XLOOKUP(SessionMovements[[#This Row],[MovementID]], MovementLibrary[MovementID], MovementLibrary[Modality], "")
)</f>
        <v>Barbell</v>
      </c>
      <c r="E514" s="5" t="str">
        <f>IF(SessionMovements[[#This Row],[MovementID]]="","",
   _xlfn.XLOOKUP(SessionMovements[[#This Row],[MovementID]], MovementLibrary[MovementID], MovementLibrary[Unit], "")
)</f>
        <v>kg</v>
      </c>
      <c r="F5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4">
        <v>4</v>
      </c>
      <c r="H514">
        <v>5</v>
      </c>
      <c r="K514" t="s">
        <v>1124</v>
      </c>
      <c r="L514" s="5" t="str">
        <f>IF(COUNTIF(Sessions[SessionID],SessionMovements[[#This Row],[SessionID]])=0,"❌ Missing","✔ OK")</f>
        <v>✔ OK</v>
      </c>
    </row>
    <row r="515" spans="1:12" x14ac:dyDescent="0.3">
      <c r="A515" t="s">
        <v>1122</v>
      </c>
      <c r="B515" t="s">
        <v>711</v>
      </c>
      <c r="C515" t="str">
        <f>IF(SessionMovements[[#This Row],[MovementID]]="","",
   _xlfn.XLOOKUP(SessionMovements[[#This Row],[MovementID]],MovementLibrary[MovementID],MovementLibrary[Name],"")
)</f>
        <v>Ring Row</v>
      </c>
      <c r="D515" s="5" t="str">
        <f>IF(SessionMovements[[#This Row],[MovementID]]="","",
   _xlfn.XLOOKUP(SessionMovements[[#This Row],[MovementID]], MovementLibrary[MovementID], MovementLibrary[Modality], "")
)</f>
        <v>Gymnastics</v>
      </c>
      <c r="E515" s="5" t="str">
        <f>IF(SessionMovements[[#This Row],[MovementID]]="","",
   _xlfn.XLOOKUP(SessionMovements[[#This Row],[MovementID]], MovementLibrary[MovementID], MovementLibrary[Unit], "")
)</f>
        <v>reps</v>
      </c>
      <c r="F5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5">
        <v>4</v>
      </c>
      <c r="H515">
        <v>10</v>
      </c>
      <c r="K515" t="s">
        <v>1125</v>
      </c>
      <c r="L515" s="5" t="str">
        <f>IF(COUNTIF(Sessions[SessionID],SessionMovements[[#This Row],[SessionID]])=0,"❌ Missing","✔ OK")</f>
        <v>✔ OK</v>
      </c>
    </row>
    <row r="516" spans="1:12" x14ac:dyDescent="0.3">
      <c r="A516" t="s">
        <v>1122</v>
      </c>
      <c r="B516" t="s">
        <v>388</v>
      </c>
      <c r="C516" t="str">
        <f>IF(SessionMovements[[#This Row],[MovementID]]="","",
   _xlfn.XLOOKUP(SessionMovements[[#This Row],[MovementID]],MovementLibrary[MovementID],MovementLibrary[Name],"")
)</f>
        <v>Pull-Up</v>
      </c>
      <c r="D516" s="5" t="str">
        <f>IF(SessionMovements[[#This Row],[MovementID]]="","",
   _xlfn.XLOOKUP(SessionMovements[[#This Row],[MovementID]], MovementLibrary[MovementID], MovementLibrary[Modality], "")
)</f>
        <v>Gymnastics</v>
      </c>
      <c r="E516" s="5" t="str">
        <f>IF(SessionMovements[[#This Row],[MovementID]]="","",
   _xlfn.XLOOKUP(SessionMovements[[#This Row],[MovementID]], MovementLibrary[MovementID], MovementLibrary[Unit], "")
)</f>
        <v>reps</v>
      </c>
      <c r="F5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6">
        <v>4</v>
      </c>
      <c r="H516">
        <v>8</v>
      </c>
      <c r="K516" t="s">
        <v>1126</v>
      </c>
      <c r="L516" s="5" t="str">
        <f>IF(COUNTIF(Sessions[SessionID],SessionMovements[[#This Row],[SessionID]])=0,"❌ Missing","✔ OK")</f>
        <v>✔ OK</v>
      </c>
    </row>
    <row r="517" spans="1:12" x14ac:dyDescent="0.3">
      <c r="A517" t="s">
        <v>1122</v>
      </c>
      <c r="B517" t="s">
        <v>530</v>
      </c>
      <c r="C517" t="str">
        <f>IF(SessionMovements[[#This Row],[MovementID]]="","",
   _xlfn.XLOOKUP(SessionMovements[[#This Row],[MovementID]],MovementLibrary[MovementID],MovementLibrary[Name],"")
)</f>
        <v>Hollow Hold</v>
      </c>
      <c r="D517" s="5" t="str">
        <f>IF(SessionMovements[[#This Row],[MovementID]]="","",
   _xlfn.XLOOKUP(SessionMovements[[#This Row],[MovementID]], MovementLibrary[MovementID], MovementLibrary[Modality], "")
)</f>
        <v>Gymnastics</v>
      </c>
      <c r="E517" s="5" t="str">
        <f>IF(SessionMovements[[#This Row],[MovementID]]="","",
   _xlfn.XLOOKUP(SessionMovements[[#This Row],[MovementID]], MovementLibrary[MovementID], MovementLibrary[Unit], "")
)</f>
        <v>sec</v>
      </c>
      <c r="F5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7">
        <v>3</v>
      </c>
      <c r="H517">
        <v>30</v>
      </c>
      <c r="L517" s="5" t="str">
        <f>IF(COUNTIF(Sessions[SessionID],SessionMovements[[#This Row],[SessionID]])=0,"❌ Missing","✔ OK")</f>
        <v>✔ OK</v>
      </c>
    </row>
    <row r="518" spans="1:12" x14ac:dyDescent="0.3">
      <c r="A518" t="s">
        <v>1127</v>
      </c>
      <c r="B518" t="s">
        <v>260</v>
      </c>
      <c r="C518" t="str">
        <f>IF(SessionMovements[[#This Row],[MovementID]]="","",
   _xlfn.XLOOKUP(SessionMovements[[#This Row],[MovementID]],MovementLibrary[MovementID],MovementLibrary[Name],"")
)</f>
        <v>Snatch</v>
      </c>
      <c r="D518" s="5" t="str">
        <f>IF(SessionMovements[[#This Row],[MovementID]]="","",
   _xlfn.XLOOKUP(SessionMovements[[#This Row],[MovementID]], MovementLibrary[MovementID], MovementLibrary[Modality], "")
)</f>
        <v>Barbell</v>
      </c>
      <c r="E518" s="5" t="str">
        <f>IF(SessionMovements[[#This Row],[MovementID]]="","",
   _xlfn.XLOOKUP(SessionMovements[[#This Row],[MovementID]], MovementLibrary[MovementID], MovementLibrary[Unit], "")
)</f>
        <v>kg</v>
      </c>
      <c r="F5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8">
        <v>1</v>
      </c>
      <c r="H518">
        <v>1</v>
      </c>
      <c r="J518">
        <v>91</v>
      </c>
      <c r="K518" t="s">
        <v>1128</v>
      </c>
      <c r="L518" s="5" t="str">
        <f>IF(COUNTIF(Sessions[SessionID],SessionMovements[[#This Row],[SessionID]])=0,"❌ Missing","✔ OK")</f>
        <v>✔ OK</v>
      </c>
    </row>
    <row r="519" spans="1:12" x14ac:dyDescent="0.3">
      <c r="A519" t="s">
        <v>1127</v>
      </c>
      <c r="B519" t="s">
        <v>260</v>
      </c>
      <c r="C519" t="str">
        <f>IF(SessionMovements[[#This Row],[MovementID]]="","",
   _xlfn.XLOOKUP(SessionMovements[[#This Row],[MovementID]],MovementLibrary[MovementID],MovementLibrary[Name],"")
)</f>
        <v>Snatch</v>
      </c>
      <c r="D519" s="5" t="str">
        <f>IF(SessionMovements[[#This Row],[MovementID]]="","",
   _xlfn.XLOOKUP(SessionMovements[[#This Row],[MovementID]], MovementLibrary[MovementID], MovementLibrary[Modality], "")
)</f>
        <v>Barbell</v>
      </c>
      <c r="E519" s="5" t="str">
        <f>IF(SessionMovements[[#This Row],[MovementID]]="","",
   _xlfn.XLOOKUP(SessionMovements[[#This Row],[MovementID]], MovementLibrary[MovementID], MovementLibrary[Unit], "")
)</f>
        <v>kg</v>
      </c>
      <c r="F5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19">
        <v>5</v>
      </c>
      <c r="H519">
        <v>1</v>
      </c>
      <c r="J519">
        <v>77</v>
      </c>
      <c r="K519" t="s">
        <v>1129</v>
      </c>
      <c r="L519" s="5" t="str">
        <f>IF(COUNTIF(Sessions[SessionID],SessionMovements[[#This Row],[SessionID]])=0,"❌ Missing","✔ OK")</f>
        <v>✔ OK</v>
      </c>
    </row>
    <row r="520" spans="1:12" x14ac:dyDescent="0.3">
      <c r="A520" t="s">
        <v>1127</v>
      </c>
      <c r="B520" t="s">
        <v>261</v>
      </c>
      <c r="C520" t="str">
        <f>IF(SessionMovements[[#This Row],[MovementID]]="","",
   _xlfn.XLOOKUP(SessionMovements[[#This Row],[MovementID]],MovementLibrary[MovementID],MovementLibrary[Name],"")
)</f>
        <v>Clean &amp; Jerk</v>
      </c>
      <c r="D520" s="5" t="str">
        <f>IF(SessionMovements[[#This Row],[MovementID]]="","",
   _xlfn.XLOOKUP(SessionMovements[[#This Row],[MovementID]], MovementLibrary[MovementID], MovementLibrary[Modality], "")
)</f>
        <v>Barbell</v>
      </c>
      <c r="E520" s="5" t="str">
        <f>IF(SessionMovements[[#This Row],[MovementID]]="","",
   _xlfn.XLOOKUP(SessionMovements[[#This Row],[MovementID]], MovementLibrary[MovementID], MovementLibrary[Unit], "")
)</f>
        <v>kg</v>
      </c>
      <c r="F5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0">
        <v>1</v>
      </c>
      <c r="H520">
        <v>1</v>
      </c>
      <c r="J520">
        <v>93</v>
      </c>
      <c r="K520" t="s">
        <v>1128</v>
      </c>
      <c r="L520" s="5" t="str">
        <f>IF(COUNTIF(Sessions[SessionID],SessionMovements[[#This Row],[SessionID]])=0,"❌ Missing","✔ OK")</f>
        <v>✔ OK</v>
      </c>
    </row>
    <row r="521" spans="1:12" x14ac:dyDescent="0.3">
      <c r="A521" t="s">
        <v>1127</v>
      </c>
      <c r="B521" t="s">
        <v>261</v>
      </c>
      <c r="C521" t="str">
        <f>IF(SessionMovements[[#This Row],[MovementID]]="","",
   _xlfn.XLOOKUP(SessionMovements[[#This Row],[MovementID]],MovementLibrary[MovementID],MovementLibrary[Name],"")
)</f>
        <v>Clean &amp; Jerk</v>
      </c>
      <c r="D521" s="5" t="str">
        <f>IF(SessionMovements[[#This Row],[MovementID]]="","",
   _xlfn.XLOOKUP(SessionMovements[[#This Row],[MovementID]], MovementLibrary[MovementID], MovementLibrary[Modality], "")
)</f>
        <v>Barbell</v>
      </c>
      <c r="E521" s="5" t="str">
        <f>IF(SessionMovements[[#This Row],[MovementID]]="","",
   _xlfn.XLOOKUP(SessionMovements[[#This Row],[MovementID]], MovementLibrary[MovementID], MovementLibrary[Unit], "")
)</f>
        <v>kg</v>
      </c>
      <c r="F5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1">
        <v>5</v>
      </c>
      <c r="H521">
        <v>1</v>
      </c>
      <c r="J521">
        <v>78</v>
      </c>
      <c r="K521" t="s">
        <v>1129</v>
      </c>
      <c r="L521" s="5" t="str">
        <f>IF(COUNTIF(Sessions[SessionID],SessionMovements[[#This Row],[SessionID]])=0,"❌ Missing","✔ OK")</f>
        <v>✔ OK</v>
      </c>
    </row>
    <row r="522" spans="1:12" x14ac:dyDescent="0.3">
      <c r="A522" t="s">
        <v>1127</v>
      </c>
      <c r="B522" t="s">
        <v>296</v>
      </c>
      <c r="C522" t="str">
        <f>IF(SessionMovements[[#This Row],[MovementID]]="","",
   _xlfn.XLOOKUP(SessionMovements[[#This Row],[MovementID]],MovementLibrary[MovementID],MovementLibrary[Name],"")
)</f>
        <v>Front Squat</v>
      </c>
      <c r="D522" s="5" t="str">
        <f>IF(SessionMovements[[#This Row],[MovementID]]="","",
   _xlfn.XLOOKUP(SessionMovements[[#This Row],[MovementID]], MovementLibrary[MovementID], MovementLibrary[Modality], "")
)</f>
        <v>Barbell</v>
      </c>
      <c r="E522" s="5" t="str">
        <f>IF(SessionMovements[[#This Row],[MovementID]]="","",
   _xlfn.XLOOKUP(SessionMovements[[#This Row],[MovementID]], MovementLibrary[MovementID], MovementLibrary[Unit], "")
)</f>
        <v>kg</v>
      </c>
      <c r="F5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2">
        <v>4</v>
      </c>
      <c r="H522">
        <v>3</v>
      </c>
      <c r="J522">
        <v>77</v>
      </c>
      <c r="K522" t="s">
        <v>1130</v>
      </c>
      <c r="L522" s="5" t="str">
        <f>IF(COUNTIF(Sessions[SessionID],SessionMovements[[#This Row],[SessionID]])=0,"❌ Missing","✔ OK")</f>
        <v>✔ OK</v>
      </c>
    </row>
    <row r="523" spans="1:12" x14ac:dyDescent="0.3">
      <c r="A523" t="s">
        <v>1127</v>
      </c>
      <c r="B523" t="s">
        <v>296</v>
      </c>
      <c r="C523" t="str">
        <f>IF(SessionMovements[[#This Row],[MovementID]]="","",
   _xlfn.XLOOKUP(SessionMovements[[#This Row],[MovementID]],MovementLibrary[MovementID],MovementLibrary[Name],"")
)</f>
        <v>Front Squat</v>
      </c>
      <c r="D523" s="5" t="str">
        <f>IF(SessionMovements[[#This Row],[MovementID]]="","",
   _xlfn.XLOOKUP(SessionMovements[[#This Row],[MovementID]], MovementLibrary[MovementID], MovementLibrary[Modality], "")
)</f>
        <v>Barbell</v>
      </c>
      <c r="E523" s="5" t="str">
        <f>IF(SessionMovements[[#This Row],[MovementID]]="","",
   _xlfn.XLOOKUP(SessionMovements[[#This Row],[MovementID]], MovementLibrary[MovementID], MovementLibrary[Unit], "")
)</f>
        <v>kg</v>
      </c>
      <c r="F5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3">
        <v>3</v>
      </c>
      <c r="H523">
        <v>8</v>
      </c>
      <c r="J523">
        <v>62</v>
      </c>
      <c r="K523" t="s">
        <v>1131</v>
      </c>
      <c r="L523" s="5" t="str">
        <f>IF(COUNTIF(Sessions[SessionID],SessionMovements[[#This Row],[SessionID]])=0,"❌ Missing","✔ OK")</f>
        <v>✔ OK</v>
      </c>
    </row>
    <row r="524" spans="1:12" x14ac:dyDescent="0.3">
      <c r="A524" t="s">
        <v>1127</v>
      </c>
      <c r="B524" t="s">
        <v>325</v>
      </c>
      <c r="C524" t="str">
        <f>IF(SessionMovements[[#This Row],[MovementID]]="","",
   _xlfn.XLOOKUP(SessionMovements[[#This Row],[MovementID]],MovementLibrary[MovementID],MovementLibrary[Name],"")
)</f>
        <v>Split Squat</v>
      </c>
      <c r="D524" s="5" t="str">
        <f>IF(SessionMovements[[#This Row],[MovementID]]="","",
   _xlfn.XLOOKUP(SessionMovements[[#This Row],[MovementID]], MovementLibrary[MovementID], MovementLibrary[Modality], "")
)</f>
        <v>Barbell</v>
      </c>
      <c r="E524" s="5" t="str">
        <f>IF(SessionMovements[[#This Row],[MovementID]]="","",
   _xlfn.XLOOKUP(SessionMovements[[#This Row],[MovementID]], MovementLibrary[MovementID], MovementLibrary[Unit], "")
)</f>
        <v>kg</v>
      </c>
      <c r="F5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4">
        <v>4</v>
      </c>
      <c r="H524">
        <v>10</v>
      </c>
      <c r="K524" t="s">
        <v>1132</v>
      </c>
      <c r="L524" s="5" t="str">
        <f>IF(COUNTIF(Sessions[SessionID],SessionMovements[[#This Row],[SessionID]])=0,"❌ Missing","✔ OK")</f>
        <v>✔ OK</v>
      </c>
    </row>
    <row r="525" spans="1:12" x14ac:dyDescent="0.3">
      <c r="A525" t="s">
        <v>1127</v>
      </c>
      <c r="B525" t="s">
        <v>717</v>
      </c>
      <c r="C525" t="str">
        <f>IF(SessionMovements[[#This Row],[MovementID]]="","",
   _xlfn.XLOOKUP(SessionMovements[[#This Row],[MovementID]],MovementLibrary[MovementID],MovementLibrary[Name],"")
)</f>
        <v>Broad Jump</v>
      </c>
      <c r="D525" s="5" t="str">
        <f>IF(SessionMovements[[#This Row],[MovementID]]="","",
   _xlfn.XLOOKUP(SessionMovements[[#This Row],[MovementID]], MovementLibrary[MovementID], MovementLibrary[Modality], "")
)</f>
        <v>Plyometric</v>
      </c>
      <c r="E525" s="5" t="str">
        <f>IF(SessionMovements[[#This Row],[MovementID]]="","",
   _xlfn.XLOOKUP(SessionMovements[[#This Row],[MovementID]], MovementLibrary[MovementID], MovementLibrary[Unit], "")
)</f>
        <v>reps</v>
      </c>
      <c r="F5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5">
        <v>4</v>
      </c>
      <c r="H525">
        <v>3</v>
      </c>
      <c r="K525" t="s">
        <v>1133</v>
      </c>
      <c r="L525" s="5" t="str">
        <f>IF(COUNTIF(Sessions[SessionID],SessionMovements[[#This Row],[SessionID]])=0,"❌ Missing","✔ OK")</f>
        <v>✔ OK</v>
      </c>
    </row>
    <row r="526" spans="1:12" x14ac:dyDescent="0.3">
      <c r="A526" t="s">
        <v>1127</v>
      </c>
      <c r="B526" t="s">
        <v>428</v>
      </c>
      <c r="C526" t="str">
        <f>IF(SessionMovements[[#This Row],[MovementID]]="","",
   _xlfn.XLOOKUP(SessionMovements[[#This Row],[MovementID]],MovementLibrary[MovementID],MovementLibrary[Name],"")
)</f>
        <v>AbMat Sit-Up</v>
      </c>
      <c r="D526" s="5" t="str">
        <f>IF(SessionMovements[[#This Row],[MovementID]]="","",
   _xlfn.XLOOKUP(SessionMovements[[#This Row],[MovementID]], MovementLibrary[MovementID], MovementLibrary[Modality], "")
)</f>
        <v>Gymnastics</v>
      </c>
      <c r="E526" s="5" t="str">
        <f>IF(SessionMovements[[#This Row],[MovementID]]="","",
   _xlfn.XLOOKUP(SessionMovements[[#This Row],[MovementID]], MovementLibrary[MovementID], MovementLibrary[Unit], "")
)</f>
        <v>reps</v>
      </c>
      <c r="F5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6">
        <v>3</v>
      </c>
      <c r="H526">
        <v>20</v>
      </c>
      <c r="L526" s="5" t="str">
        <f>IF(COUNTIF(Sessions[SessionID],SessionMovements[[#This Row],[SessionID]])=0,"❌ Missing","✔ OK")</f>
        <v>✔ OK</v>
      </c>
    </row>
    <row r="527" spans="1:12" x14ac:dyDescent="0.3">
      <c r="A527" t="s">
        <v>1134</v>
      </c>
      <c r="B527" t="s">
        <v>275</v>
      </c>
      <c r="C527" t="str">
        <f>IF(SessionMovements[[#This Row],[MovementID]]="","",
   _xlfn.XLOOKUP(SessionMovements[[#This Row],[MovementID]],MovementLibrary[MovementID],MovementLibrary[Name],"")
)</f>
        <v>Power Snatch</v>
      </c>
      <c r="D527" s="5" t="str">
        <f>IF(SessionMovements[[#This Row],[MovementID]]="","",
   _xlfn.XLOOKUP(SessionMovements[[#This Row],[MovementID]], MovementLibrary[MovementID], MovementLibrary[Modality], "")
)</f>
        <v>Barbell</v>
      </c>
      <c r="E527" s="5" t="str">
        <f>IF(SessionMovements[[#This Row],[MovementID]]="","",
   _xlfn.XLOOKUP(SessionMovements[[#This Row],[MovementID]], MovementLibrary[MovementID], MovementLibrary[Unit], "")
)</f>
        <v>kg</v>
      </c>
      <c r="F5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7">
        <v>5</v>
      </c>
      <c r="H527">
        <v>3</v>
      </c>
      <c r="K527" t="s">
        <v>1135</v>
      </c>
      <c r="L527" s="5" t="str">
        <f>IF(COUNTIF(Sessions[SessionID],SessionMovements[[#This Row],[SessionID]])=0,"❌ Missing","✔ OK")</f>
        <v>✔ OK</v>
      </c>
    </row>
    <row r="528" spans="1:12" x14ac:dyDescent="0.3">
      <c r="A528" t="s">
        <v>1134</v>
      </c>
      <c r="B528" t="s">
        <v>553</v>
      </c>
      <c r="C528" t="str">
        <f>IF(SessionMovements[[#This Row],[MovementID]]="","",
   _xlfn.XLOOKUP(SessionMovements[[#This Row],[MovementID]],MovementLibrary[MovementID],MovementLibrary[Name],"")
)</f>
        <v>Deficit Deadlift</v>
      </c>
      <c r="D528" s="5" t="str">
        <f>IF(SessionMovements[[#This Row],[MovementID]]="","",
   _xlfn.XLOOKUP(SessionMovements[[#This Row],[MovementID]], MovementLibrary[MovementID], MovementLibrary[Modality], "")
)</f>
        <v>Barbell</v>
      </c>
      <c r="E528" s="5" t="str">
        <f>IF(SessionMovements[[#This Row],[MovementID]]="","",
   _xlfn.XLOOKUP(SessionMovements[[#This Row],[MovementID]], MovementLibrary[MovementID], MovementLibrary[Unit], "")
)</f>
        <v>kg</v>
      </c>
      <c r="F5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8">
        <v>4</v>
      </c>
      <c r="H528">
        <v>5</v>
      </c>
      <c r="K528" t="s">
        <v>1136</v>
      </c>
      <c r="L528" s="5" t="str">
        <f>IF(COUNTIF(Sessions[SessionID],SessionMovements[[#This Row],[SessionID]])=0,"❌ Missing","✔ OK")</f>
        <v>✔ OK</v>
      </c>
    </row>
    <row r="529" spans="1:12" x14ac:dyDescent="0.3">
      <c r="A529" t="s">
        <v>1134</v>
      </c>
      <c r="B529" t="s">
        <v>314</v>
      </c>
      <c r="C529" t="str">
        <f>IF(SessionMovements[[#This Row],[MovementID]]="","",
   _xlfn.XLOOKUP(SessionMovements[[#This Row],[MovementID]],MovementLibrary[MovementID],MovementLibrary[Name],"")
)</f>
        <v>Floor Press</v>
      </c>
      <c r="D529" s="5" t="str">
        <f>IF(SessionMovements[[#This Row],[MovementID]]="","",
   _xlfn.XLOOKUP(SessionMovements[[#This Row],[MovementID]], MovementLibrary[MovementID], MovementLibrary[Modality], "")
)</f>
        <v>Barbell</v>
      </c>
      <c r="E529" s="5" t="str">
        <f>IF(SessionMovements[[#This Row],[MovementID]]="","",
   _xlfn.XLOOKUP(SessionMovements[[#This Row],[MovementID]], MovementLibrary[MovementID], MovementLibrary[Unit], "")
)</f>
        <v>kg</v>
      </c>
      <c r="F5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29">
        <v>5</v>
      </c>
      <c r="H529">
        <v>10</v>
      </c>
      <c r="K529" t="s">
        <v>1137</v>
      </c>
      <c r="L529" s="5" t="str">
        <f>IF(COUNTIF(Sessions[SessionID],SessionMovements[[#This Row],[SessionID]])=0,"❌ Missing","✔ OK")</f>
        <v>✔ OK</v>
      </c>
    </row>
    <row r="530" spans="1:12" x14ac:dyDescent="0.3">
      <c r="A530" t="s">
        <v>1134</v>
      </c>
      <c r="B530" t="s">
        <v>711</v>
      </c>
      <c r="C530" t="str">
        <f>IF(SessionMovements[[#This Row],[MovementID]]="","",
   _xlfn.XLOOKUP(SessionMovements[[#This Row],[MovementID]],MovementLibrary[MovementID],MovementLibrary[Name],"")
)</f>
        <v>Ring Row</v>
      </c>
      <c r="D530" s="5" t="str">
        <f>IF(SessionMovements[[#This Row],[MovementID]]="","",
   _xlfn.XLOOKUP(SessionMovements[[#This Row],[MovementID]], MovementLibrary[MovementID], MovementLibrary[Modality], "")
)</f>
        <v>Gymnastics</v>
      </c>
      <c r="E530" s="5" t="str">
        <f>IF(SessionMovements[[#This Row],[MovementID]]="","",
   _xlfn.XLOOKUP(SessionMovements[[#This Row],[MovementID]], MovementLibrary[MovementID], MovementLibrary[Unit], "")
)</f>
        <v>reps</v>
      </c>
      <c r="F5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0">
        <v>5</v>
      </c>
      <c r="H530">
        <v>10</v>
      </c>
      <c r="K530" t="s">
        <v>1138</v>
      </c>
      <c r="L530" s="5" t="str">
        <f>IF(COUNTIF(Sessions[SessionID],SessionMovements[[#This Row],[SessionID]])=0,"❌ Missing","✔ OK")</f>
        <v>✔ OK</v>
      </c>
    </row>
    <row r="531" spans="1:12" x14ac:dyDescent="0.3">
      <c r="A531" t="s">
        <v>1134</v>
      </c>
      <c r="B531" t="s">
        <v>530</v>
      </c>
      <c r="C531" t="str">
        <f>IF(SessionMovements[[#This Row],[MovementID]]="","",
   _xlfn.XLOOKUP(SessionMovements[[#This Row],[MovementID]],MovementLibrary[MovementID],MovementLibrary[Name],"")
)</f>
        <v>Hollow Hold</v>
      </c>
      <c r="D531" s="5" t="str">
        <f>IF(SessionMovements[[#This Row],[MovementID]]="","",
   _xlfn.XLOOKUP(SessionMovements[[#This Row],[MovementID]], MovementLibrary[MovementID], MovementLibrary[Modality], "")
)</f>
        <v>Gymnastics</v>
      </c>
      <c r="E531" s="5" t="str">
        <f>IF(SessionMovements[[#This Row],[MovementID]]="","",
   _xlfn.XLOOKUP(SessionMovements[[#This Row],[MovementID]], MovementLibrary[MovementID], MovementLibrary[Unit], "")
)</f>
        <v>sec</v>
      </c>
      <c r="F5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1">
        <v>3</v>
      </c>
      <c r="H531">
        <v>30</v>
      </c>
      <c r="L531" s="5" t="str">
        <f>IF(COUNTIF(Sessions[SessionID],SessionMovements[[#This Row],[SessionID]])=0,"❌ Missing","✔ OK")</f>
        <v>✔ OK</v>
      </c>
    </row>
    <row r="532" spans="1:12" x14ac:dyDescent="0.3">
      <c r="A532" t="s">
        <v>1139</v>
      </c>
      <c r="B532" t="s">
        <v>298</v>
      </c>
      <c r="C532" t="str">
        <f>IF(SessionMovements[[#This Row],[MovementID]]="","",
   _xlfn.XLOOKUP(SessionMovements[[#This Row],[MovementID]],MovementLibrary[MovementID],MovementLibrary[Name],"")
)</f>
        <v>Back Squat</v>
      </c>
      <c r="D532" s="5" t="str">
        <f>IF(SessionMovements[[#This Row],[MovementID]]="","",
   _xlfn.XLOOKUP(SessionMovements[[#This Row],[MovementID]], MovementLibrary[MovementID], MovementLibrary[Modality], "")
)</f>
        <v>Barbell</v>
      </c>
      <c r="E532" s="5" t="str">
        <f>IF(SessionMovements[[#This Row],[MovementID]]="","",
   _xlfn.XLOOKUP(SessionMovements[[#This Row],[MovementID]], MovementLibrary[MovementID], MovementLibrary[Unit], "")
)</f>
        <v>kg</v>
      </c>
      <c r="F5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2">
        <v>4</v>
      </c>
      <c r="H532">
        <v>5</v>
      </c>
      <c r="J532">
        <v>75</v>
      </c>
      <c r="K532" t="s">
        <v>1111</v>
      </c>
      <c r="L532" s="5" t="str">
        <f>IF(COUNTIF(Sessions[SessionID],SessionMovements[[#This Row],[SessionID]])=0,"❌ Missing","✔ OK")</f>
        <v>✔ OK</v>
      </c>
    </row>
    <row r="533" spans="1:12" x14ac:dyDescent="0.3">
      <c r="A533" t="s">
        <v>1139</v>
      </c>
      <c r="B533" t="s">
        <v>298</v>
      </c>
      <c r="C533" t="str">
        <f>IF(SessionMovements[[#This Row],[MovementID]]="","",
   _xlfn.XLOOKUP(SessionMovements[[#This Row],[MovementID]],MovementLibrary[MovementID],MovementLibrary[Name],"")
)</f>
        <v>Back Squat</v>
      </c>
      <c r="D533" s="5" t="str">
        <f>IF(SessionMovements[[#This Row],[MovementID]]="","",
   _xlfn.XLOOKUP(SessionMovements[[#This Row],[MovementID]], MovementLibrary[MovementID], MovementLibrary[Modality], "")
)</f>
        <v>Barbell</v>
      </c>
      <c r="E533" s="5" t="str">
        <f>IF(SessionMovements[[#This Row],[MovementID]]="","",
   _xlfn.XLOOKUP(SessionMovements[[#This Row],[MovementID]], MovementLibrary[MovementID], MovementLibrary[Unit], "")
)</f>
        <v>kg</v>
      </c>
      <c r="F5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3">
        <v>3</v>
      </c>
      <c r="H533">
        <v>10</v>
      </c>
      <c r="J533">
        <v>64</v>
      </c>
      <c r="K533" t="s">
        <v>1112</v>
      </c>
      <c r="L533" s="5" t="str">
        <f>IF(COUNTIF(Sessions[SessionID],SessionMovements[[#This Row],[SessionID]])=0,"❌ Missing","✔ OK")</f>
        <v>✔ OK</v>
      </c>
    </row>
    <row r="534" spans="1:12" x14ac:dyDescent="0.3">
      <c r="A534" t="s">
        <v>1139</v>
      </c>
      <c r="B534" t="s">
        <v>309</v>
      </c>
      <c r="C534" t="str">
        <f>IF(SessionMovements[[#This Row],[MovementID]]="","",
   _xlfn.XLOOKUP(SessionMovements[[#This Row],[MovementID]],MovementLibrary[MovementID],MovementLibrary[Name],"")
)</f>
        <v>Romanian Deadlift</v>
      </c>
      <c r="D534" s="5" t="str">
        <f>IF(SessionMovements[[#This Row],[MovementID]]="","",
   _xlfn.XLOOKUP(SessionMovements[[#This Row],[MovementID]], MovementLibrary[MovementID], MovementLibrary[Modality], "")
)</f>
        <v>Barbell</v>
      </c>
      <c r="E534" s="5" t="str">
        <f>IF(SessionMovements[[#This Row],[MovementID]]="","",
   _xlfn.XLOOKUP(SessionMovements[[#This Row],[MovementID]], MovementLibrary[MovementID], MovementLibrary[Unit], "")
)</f>
        <v>kg</v>
      </c>
      <c r="F5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4">
        <v>4</v>
      </c>
      <c r="H534">
        <v>8</v>
      </c>
      <c r="K534" t="s">
        <v>1113</v>
      </c>
      <c r="L534" s="5" t="str">
        <f>IF(COUNTIF(Sessions[SessionID],SessionMovements[[#This Row],[SessionID]])=0,"❌ Missing","✔ OK")</f>
        <v>✔ OK</v>
      </c>
    </row>
    <row r="535" spans="1:12" x14ac:dyDescent="0.3">
      <c r="A535" t="s">
        <v>1139</v>
      </c>
      <c r="B535" t="s">
        <v>325</v>
      </c>
      <c r="C535" t="str">
        <f>IF(SessionMovements[[#This Row],[MovementID]]="","",
   _xlfn.XLOOKUP(SessionMovements[[#This Row],[MovementID]],MovementLibrary[MovementID],MovementLibrary[Name],"")
)</f>
        <v>Split Squat</v>
      </c>
      <c r="D535" s="5" t="str">
        <f>IF(SessionMovements[[#This Row],[MovementID]]="","",
   _xlfn.XLOOKUP(SessionMovements[[#This Row],[MovementID]], MovementLibrary[MovementID], MovementLibrary[Modality], "")
)</f>
        <v>Barbell</v>
      </c>
      <c r="E535" s="5" t="str">
        <f>IF(SessionMovements[[#This Row],[MovementID]]="","",
   _xlfn.XLOOKUP(SessionMovements[[#This Row],[MovementID]], MovementLibrary[MovementID], MovementLibrary[Unit], "")
)</f>
        <v>kg</v>
      </c>
      <c r="F5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5">
        <v>4</v>
      </c>
      <c r="H535">
        <v>10</v>
      </c>
      <c r="K535" t="s">
        <v>1114</v>
      </c>
      <c r="L535" s="5" t="str">
        <f>IF(COUNTIF(Sessions[SessionID],SessionMovements[[#This Row],[SessionID]])=0,"❌ Missing","✔ OK")</f>
        <v>✔ OK</v>
      </c>
    </row>
    <row r="536" spans="1:12" x14ac:dyDescent="0.3">
      <c r="A536" t="s">
        <v>1139</v>
      </c>
      <c r="B536" t="s">
        <v>717</v>
      </c>
      <c r="C536" t="str">
        <f>IF(SessionMovements[[#This Row],[MovementID]]="","",
   _xlfn.XLOOKUP(SessionMovements[[#This Row],[MovementID]],MovementLibrary[MovementID],MovementLibrary[Name],"")
)</f>
        <v>Broad Jump</v>
      </c>
      <c r="D536" s="5" t="str">
        <f>IF(SessionMovements[[#This Row],[MovementID]]="","",
   _xlfn.XLOOKUP(SessionMovements[[#This Row],[MovementID]], MovementLibrary[MovementID], MovementLibrary[Modality], "")
)</f>
        <v>Plyometric</v>
      </c>
      <c r="E536" s="5" t="str">
        <f>IF(SessionMovements[[#This Row],[MovementID]]="","",
   _xlfn.XLOOKUP(SessionMovements[[#This Row],[MovementID]], MovementLibrary[MovementID], MovementLibrary[Unit], "")
)</f>
        <v>reps</v>
      </c>
      <c r="F5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6">
        <v>5</v>
      </c>
      <c r="H536">
        <v>3</v>
      </c>
      <c r="K536" t="s">
        <v>1115</v>
      </c>
      <c r="L536" s="5" t="str">
        <f>IF(COUNTIF(Sessions[SessionID],SessionMovements[[#This Row],[SessionID]])=0,"❌ Missing","✔ OK")</f>
        <v>✔ OK</v>
      </c>
    </row>
    <row r="537" spans="1:12" x14ac:dyDescent="0.3">
      <c r="A537" t="s">
        <v>1139</v>
      </c>
      <c r="B537" t="s">
        <v>428</v>
      </c>
      <c r="C537" t="str">
        <f>IF(SessionMovements[[#This Row],[MovementID]]="","",
   _xlfn.XLOOKUP(SessionMovements[[#This Row],[MovementID]],MovementLibrary[MovementID],MovementLibrary[Name],"")
)</f>
        <v>AbMat Sit-Up</v>
      </c>
      <c r="D537" s="5" t="str">
        <f>IF(SessionMovements[[#This Row],[MovementID]]="","",
   _xlfn.XLOOKUP(SessionMovements[[#This Row],[MovementID]], MovementLibrary[MovementID], MovementLibrary[Modality], "")
)</f>
        <v>Gymnastics</v>
      </c>
      <c r="E537" s="5" t="str">
        <f>IF(SessionMovements[[#This Row],[MovementID]]="","",
   _xlfn.XLOOKUP(SessionMovements[[#This Row],[MovementID]], MovementLibrary[MovementID], MovementLibrary[Unit], "")
)</f>
        <v>reps</v>
      </c>
      <c r="F5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7">
        <v>3</v>
      </c>
      <c r="H537">
        <v>20</v>
      </c>
      <c r="L537" s="5" t="str">
        <f>IF(COUNTIF(Sessions[SessionID],SessionMovements[[#This Row],[SessionID]])=0,"❌ Missing","✔ OK")</f>
        <v>✔ OK</v>
      </c>
    </row>
    <row r="538" spans="1:12" x14ac:dyDescent="0.3">
      <c r="A538" t="s">
        <v>1140</v>
      </c>
      <c r="B538" t="s">
        <v>263</v>
      </c>
      <c r="C538" t="str">
        <f>IF(SessionMovements[[#This Row],[MovementID]]="","",
   _xlfn.XLOOKUP(SessionMovements[[#This Row],[MovementID]],MovementLibrary[MovementID],MovementLibrary[Name],"")
)</f>
        <v>Split Jerk</v>
      </c>
      <c r="D538" s="5" t="str">
        <f>IF(SessionMovements[[#This Row],[MovementID]]="","",
   _xlfn.XLOOKUP(SessionMovements[[#This Row],[MovementID]], MovementLibrary[MovementID], MovementLibrary[Modality], "")
)</f>
        <v>Barbell</v>
      </c>
      <c r="E538" s="5" t="str">
        <f>IF(SessionMovements[[#This Row],[MovementID]]="","",
   _xlfn.XLOOKUP(SessionMovements[[#This Row],[MovementID]], MovementLibrary[MovementID], MovementLibrary[Unit], "")
)</f>
        <v>kg</v>
      </c>
      <c r="F5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8">
        <v>5</v>
      </c>
      <c r="H538">
        <v>3</v>
      </c>
      <c r="J538">
        <v>75</v>
      </c>
      <c r="K538" t="s">
        <v>1117</v>
      </c>
      <c r="L538" s="5" t="str">
        <f>IF(COUNTIF(Sessions[SessionID],SessionMovements[[#This Row],[SessionID]])=0,"❌ Missing","✔ OK")</f>
        <v>✔ OK</v>
      </c>
    </row>
    <row r="539" spans="1:12" x14ac:dyDescent="0.3">
      <c r="A539" t="s">
        <v>1140</v>
      </c>
      <c r="B539" t="s">
        <v>292</v>
      </c>
      <c r="C539" t="str">
        <f>IF(SessionMovements[[#This Row],[MovementID]]="","",
   _xlfn.XLOOKUP(SessionMovements[[#This Row],[MovementID]],MovementLibrary[MovementID],MovementLibrary[Name],"")
)</f>
        <v>Push Press</v>
      </c>
      <c r="D539" s="5" t="str">
        <f>IF(SessionMovements[[#This Row],[MovementID]]="","",
   _xlfn.XLOOKUP(SessionMovements[[#This Row],[MovementID]], MovementLibrary[MovementID], MovementLibrary[Modality], "")
)</f>
        <v>Barbell</v>
      </c>
      <c r="E539" s="5" t="str">
        <f>IF(SessionMovements[[#This Row],[MovementID]]="","",
   _xlfn.XLOOKUP(SessionMovements[[#This Row],[MovementID]], MovementLibrary[MovementID], MovementLibrary[Unit], "")
)</f>
        <v>kg</v>
      </c>
      <c r="F5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39">
        <v>5</v>
      </c>
      <c r="H539">
        <v>6</v>
      </c>
      <c r="K539" t="s">
        <v>1118</v>
      </c>
      <c r="L539" s="5" t="str">
        <f>IF(COUNTIF(Sessions[SessionID],SessionMovements[[#This Row],[SessionID]])=0,"❌ Missing","✔ OK")</f>
        <v>✔ OK</v>
      </c>
    </row>
    <row r="540" spans="1:12" x14ac:dyDescent="0.3">
      <c r="A540" t="s">
        <v>1140</v>
      </c>
      <c r="B540" t="s">
        <v>256</v>
      </c>
      <c r="C540" t="str">
        <f>IF(SessionMovements[[#This Row],[MovementID]]="","",
   _xlfn.XLOOKUP(SessionMovements[[#This Row],[MovementID]],MovementLibrary[MovementID],MovementLibrary[Name],"")
)</f>
        <v>Bench Press</v>
      </c>
      <c r="D540" s="5" t="str">
        <f>IF(SessionMovements[[#This Row],[MovementID]]="","",
   _xlfn.XLOOKUP(SessionMovements[[#This Row],[MovementID]], MovementLibrary[MovementID], MovementLibrary[Modality], "")
)</f>
        <v>Barbell</v>
      </c>
      <c r="E540" s="5" t="str">
        <f>IF(SessionMovements[[#This Row],[MovementID]]="","",
   _xlfn.XLOOKUP(SessionMovements[[#This Row],[MovementID]], MovementLibrary[MovementID], MovementLibrary[Unit], "")
)</f>
        <v>kg</v>
      </c>
      <c r="F5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0">
        <v>4</v>
      </c>
      <c r="H540">
        <v>10</v>
      </c>
      <c r="K540" t="s">
        <v>1119</v>
      </c>
      <c r="L540" s="5" t="str">
        <f>IF(COUNTIF(Sessions[SessionID],SessionMovements[[#This Row],[SessionID]])=0,"❌ Missing","✔ OK")</f>
        <v>✔ OK</v>
      </c>
    </row>
    <row r="541" spans="1:12" x14ac:dyDescent="0.3">
      <c r="A541" t="s">
        <v>1140</v>
      </c>
      <c r="B541" t="s">
        <v>439</v>
      </c>
      <c r="C541" t="str">
        <f>IF(SessionMovements[[#This Row],[MovementID]]="","",
   _xlfn.XLOOKUP(SessionMovements[[#This Row],[MovementID]],MovementLibrary[MovementID],MovementLibrary[Name],"")
)</f>
        <v>Ring Push-Up</v>
      </c>
      <c r="D541" s="5" t="str">
        <f>IF(SessionMovements[[#This Row],[MovementID]]="","",
   _xlfn.XLOOKUP(SessionMovements[[#This Row],[MovementID]], MovementLibrary[MovementID], MovementLibrary[Modality], "")
)</f>
        <v>Gymnastics</v>
      </c>
      <c r="E541" s="5" t="str">
        <f>IF(SessionMovements[[#This Row],[MovementID]]="","",
   _xlfn.XLOOKUP(SessionMovements[[#This Row],[MovementID]], MovementLibrary[MovementID], MovementLibrary[Unit], "")
)</f>
        <v>reps</v>
      </c>
      <c r="F5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1">
        <v>4</v>
      </c>
      <c r="H541">
        <v>10</v>
      </c>
      <c r="K541" t="s">
        <v>1120</v>
      </c>
      <c r="L541" s="5" t="str">
        <f>IF(COUNTIF(Sessions[SessionID],SessionMovements[[#This Row],[SessionID]])=0,"❌ Missing","✔ OK")</f>
        <v>✔ OK</v>
      </c>
    </row>
    <row r="542" spans="1:12" x14ac:dyDescent="0.3">
      <c r="A542" t="s">
        <v>1140</v>
      </c>
      <c r="B542" t="s">
        <v>437</v>
      </c>
      <c r="C542" t="str">
        <f>IF(SessionMovements[[#This Row],[MovementID]]="","",
   _xlfn.XLOOKUP(SessionMovements[[#This Row],[MovementID]],MovementLibrary[MovementID],MovementLibrary[Name],"")
)</f>
        <v>Plank Hold</v>
      </c>
      <c r="D542" s="5" t="str">
        <f>IF(SessionMovements[[#This Row],[MovementID]]="","",
   _xlfn.XLOOKUP(SessionMovements[[#This Row],[MovementID]], MovementLibrary[MovementID], MovementLibrary[Modality], "")
)</f>
        <v>Gymnastics</v>
      </c>
      <c r="E542" s="5" t="str">
        <f>IF(SessionMovements[[#This Row],[MovementID]]="","",
   _xlfn.XLOOKUP(SessionMovements[[#This Row],[MovementID]], MovementLibrary[MovementID], MovementLibrary[Unit], "")
)</f>
        <v>sec</v>
      </c>
      <c r="F5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2">
        <v>3</v>
      </c>
      <c r="H542">
        <v>40</v>
      </c>
      <c r="K542" t="s">
        <v>1121</v>
      </c>
      <c r="L542" s="5" t="str">
        <f>IF(COUNTIF(Sessions[SessionID],SessionMovements[[#This Row],[SessionID]])=0,"❌ Missing","✔ OK")</f>
        <v>✔ OK</v>
      </c>
    </row>
    <row r="543" spans="1:12" x14ac:dyDescent="0.3">
      <c r="A543" t="s">
        <v>1141</v>
      </c>
      <c r="B543" t="s">
        <v>259</v>
      </c>
      <c r="C543" t="str">
        <f>IF(SessionMovements[[#This Row],[MovementID]]="","",
   _xlfn.XLOOKUP(SessionMovements[[#This Row],[MovementID]],MovementLibrary[MovementID],MovementLibrary[Name],"")
)</f>
        <v>Power Clean</v>
      </c>
      <c r="D543" s="5" t="str">
        <f>IF(SessionMovements[[#This Row],[MovementID]]="","",
   _xlfn.XLOOKUP(SessionMovements[[#This Row],[MovementID]], MovementLibrary[MovementID], MovementLibrary[Modality], "")
)</f>
        <v>Barbell</v>
      </c>
      <c r="E543" s="5" t="str">
        <f>IF(SessionMovements[[#This Row],[MovementID]]="","",
   _xlfn.XLOOKUP(SessionMovements[[#This Row],[MovementID]], MovementLibrary[MovementID], MovementLibrary[Unit], "")
)</f>
        <v>kg</v>
      </c>
      <c r="F5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3">
        <v>5</v>
      </c>
      <c r="H543">
        <v>3</v>
      </c>
      <c r="K543" t="s">
        <v>1123</v>
      </c>
      <c r="L543" s="5" t="str">
        <f>IF(COUNTIF(Sessions[SessionID],SessionMovements[[#This Row],[SessionID]])=0,"❌ Missing","✔ OK")</f>
        <v>✔ OK</v>
      </c>
    </row>
    <row r="544" spans="1:12" x14ac:dyDescent="0.3">
      <c r="A544" t="s">
        <v>1141</v>
      </c>
      <c r="B544" t="s">
        <v>553</v>
      </c>
      <c r="C544" t="str">
        <f>IF(SessionMovements[[#This Row],[MovementID]]="","",
   _xlfn.XLOOKUP(SessionMovements[[#This Row],[MovementID]],MovementLibrary[MovementID],MovementLibrary[Name],"")
)</f>
        <v>Deficit Deadlift</v>
      </c>
      <c r="D544" s="5" t="str">
        <f>IF(SessionMovements[[#This Row],[MovementID]]="","",
   _xlfn.XLOOKUP(SessionMovements[[#This Row],[MovementID]], MovementLibrary[MovementID], MovementLibrary[Modality], "")
)</f>
        <v>Barbell</v>
      </c>
      <c r="E544" s="5" t="str">
        <f>IF(SessionMovements[[#This Row],[MovementID]]="","",
   _xlfn.XLOOKUP(SessionMovements[[#This Row],[MovementID]], MovementLibrary[MovementID], MovementLibrary[Unit], "")
)</f>
        <v>kg</v>
      </c>
      <c r="F5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4">
        <v>4</v>
      </c>
      <c r="H544">
        <v>5</v>
      </c>
      <c r="K544" t="s">
        <v>1124</v>
      </c>
      <c r="L544" s="5" t="str">
        <f>IF(COUNTIF(Sessions[SessionID],SessionMovements[[#This Row],[SessionID]])=0,"❌ Missing","✔ OK")</f>
        <v>✔ OK</v>
      </c>
    </row>
    <row r="545" spans="1:12" x14ac:dyDescent="0.3">
      <c r="A545" t="s">
        <v>1141</v>
      </c>
      <c r="B545" t="s">
        <v>711</v>
      </c>
      <c r="C545" t="str">
        <f>IF(SessionMovements[[#This Row],[MovementID]]="","",
   _xlfn.XLOOKUP(SessionMovements[[#This Row],[MovementID]],MovementLibrary[MovementID],MovementLibrary[Name],"")
)</f>
        <v>Ring Row</v>
      </c>
      <c r="D545" s="5" t="str">
        <f>IF(SessionMovements[[#This Row],[MovementID]]="","",
   _xlfn.XLOOKUP(SessionMovements[[#This Row],[MovementID]], MovementLibrary[MovementID], MovementLibrary[Modality], "")
)</f>
        <v>Gymnastics</v>
      </c>
      <c r="E545" s="5" t="str">
        <f>IF(SessionMovements[[#This Row],[MovementID]]="","",
   _xlfn.XLOOKUP(SessionMovements[[#This Row],[MovementID]], MovementLibrary[MovementID], MovementLibrary[Unit], "")
)</f>
        <v>reps</v>
      </c>
      <c r="F5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5">
        <v>4</v>
      </c>
      <c r="H545">
        <v>10</v>
      </c>
      <c r="K545" t="s">
        <v>1125</v>
      </c>
      <c r="L545" s="5" t="str">
        <f>IF(COUNTIF(Sessions[SessionID],SessionMovements[[#This Row],[SessionID]])=0,"❌ Missing","✔ OK")</f>
        <v>✔ OK</v>
      </c>
    </row>
    <row r="546" spans="1:12" x14ac:dyDescent="0.3">
      <c r="A546" t="s">
        <v>1141</v>
      </c>
      <c r="B546" t="s">
        <v>388</v>
      </c>
      <c r="C546" t="str">
        <f>IF(SessionMovements[[#This Row],[MovementID]]="","",
   _xlfn.XLOOKUP(SessionMovements[[#This Row],[MovementID]],MovementLibrary[MovementID],MovementLibrary[Name],"")
)</f>
        <v>Pull-Up</v>
      </c>
      <c r="D546" s="5" t="str">
        <f>IF(SessionMovements[[#This Row],[MovementID]]="","",
   _xlfn.XLOOKUP(SessionMovements[[#This Row],[MovementID]], MovementLibrary[MovementID], MovementLibrary[Modality], "")
)</f>
        <v>Gymnastics</v>
      </c>
      <c r="E546" s="5" t="str">
        <f>IF(SessionMovements[[#This Row],[MovementID]]="","",
   _xlfn.XLOOKUP(SessionMovements[[#This Row],[MovementID]], MovementLibrary[MovementID], MovementLibrary[Unit], "")
)</f>
        <v>reps</v>
      </c>
      <c r="F5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6">
        <v>4</v>
      </c>
      <c r="H546">
        <v>8</v>
      </c>
      <c r="K546" t="s">
        <v>1126</v>
      </c>
      <c r="L546" s="5" t="str">
        <f>IF(COUNTIF(Sessions[SessionID],SessionMovements[[#This Row],[SessionID]])=0,"❌ Missing","✔ OK")</f>
        <v>✔ OK</v>
      </c>
    </row>
    <row r="547" spans="1:12" x14ac:dyDescent="0.3">
      <c r="A547" t="s">
        <v>1141</v>
      </c>
      <c r="B547" t="s">
        <v>530</v>
      </c>
      <c r="C547" t="str">
        <f>IF(SessionMovements[[#This Row],[MovementID]]="","",
   _xlfn.XLOOKUP(SessionMovements[[#This Row],[MovementID]],MovementLibrary[MovementID],MovementLibrary[Name],"")
)</f>
        <v>Hollow Hold</v>
      </c>
      <c r="D547" s="5" t="str">
        <f>IF(SessionMovements[[#This Row],[MovementID]]="","",
   _xlfn.XLOOKUP(SessionMovements[[#This Row],[MovementID]], MovementLibrary[MovementID], MovementLibrary[Modality], "")
)</f>
        <v>Gymnastics</v>
      </c>
      <c r="E547" s="5" t="str">
        <f>IF(SessionMovements[[#This Row],[MovementID]]="","",
   _xlfn.XLOOKUP(SessionMovements[[#This Row],[MovementID]], MovementLibrary[MovementID], MovementLibrary[Unit], "")
)</f>
        <v>sec</v>
      </c>
      <c r="F5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7">
        <v>3</v>
      </c>
      <c r="H547">
        <v>30</v>
      </c>
      <c r="L547" s="5" t="str">
        <f>IF(COUNTIF(Sessions[SessionID],SessionMovements[[#This Row],[SessionID]])=0,"❌ Missing","✔ OK")</f>
        <v>✔ OK</v>
      </c>
    </row>
    <row r="548" spans="1:12" x14ac:dyDescent="0.3">
      <c r="A548" t="s">
        <v>1142</v>
      </c>
      <c r="B548" t="s">
        <v>260</v>
      </c>
      <c r="C548" t="str">
        <f>IF(SessionMovements[[#This Row],[MovementID]]="","",
   _xlfn.XLOOKUP(SessionMovements[[#This Row],[MovementID]],MovementLibrary[MovementID],MovementLibrary[Name],"")
)</f>
        <v>Snatch</v>
      </c>
      <c r="D548" s="5" t="str">
        <f>IF(SessionMovements[[#This Row],[MovementID]]="","",
   _xlfn.XLOOKUP(SessionMovements[[#This Row],[MovementID]], MovementLibrary[MovementID], MovementLibrary[Modality], "")
)</f>
        <v>Barbell</v>
      </c>
      <c r="E548" s="5" t="str">
        <f>IF(SessionMovements[[#This Row],[MovementID]]="","",
   _xlfn.XLOOKUP(SessionMovements[[#This Row],[MovementID]], MovementLibrary[MovementID], MovementLibrary[Unit], "")
)</f>
        <v>kg</v>
      </c>
      <c r="F5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8">
        <v>1</v>
      </c>
      <c r="H548">
        <v>1</v>
      </c>
      <c r="J548">
        <v>95</v>
      </c>
      <c r="K548" t="s">
        <v>1128</v>
      </c>
      <c r="L548" s="5" t="str">
        <f>IF(COUNTIF(Sessions[SessionID],SessionMovements[[#This Row],[SessionID]])=0,"❌ Missing","✔ OK")</f>
        <v>✔ OK</v>
      </c>
    </row>
    <row r="549" spans="1:12" x14ac:dyDescent="0.3">
      <c r="A549" t="s">
        <v>1142</v>
      </c>
      <c r="B549" t="s">
        <v>260</v>
      </c>
      <c r="C549" t="str">
        <f>IF(SessionMovements[[#This Row],[MovementID]]="","",
   _xlfn.XLOOKUP(SessionMovements[[#This Row],[MovementID]],MovementLibrary[MovementID],MovementLibrary[Name],"")
)</f>
        <v>Snatch</v>
      </c>
      <c r="D549" s="5" t="str">
        <f>IF(SessionMovements[[#This Row],[MovementID]]="","",
   _xlfn.XLOOKUP(SessionMovements[[#This Row],[MovementID]], MovementLibrary[MovementID], MovementLibrary[Modality], "")
)</f>
        <v>Barbell</v>
      </c>
      <c r="E549" s="5" t="str">
        <f>IF(SessionMovements[[#This Row],[MovementID]]="","",
   _xlfn.XLOOKUP(SessionMovements[[#This Row],[MovementID]], MovementLibrary[MovementID], MovementLibrary[Unit], "")
)</f>
        <v>kg</v>
      </c>
      <c r="F5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49">
        <v>5</v>
      </c>
      <c r="H549">
        <v>1</v>
      </c>
      <c r="J549">
        <v>82</v>
      </c>
      <c r="K549" t="s">
        <v>1129</v>
      </c>
      <c r="L549" s="5" t="str">
        <f>IF(COUNTIF(Sessions[SessionID],SessionMovements[[#This Row],[SessionID]])=0,"❌ Missing","✔ OK")</f>
        <v>✔ OK</v>
      </c>
    </row>
    <row r="550" spans="1:12" x14ac:dyDescent="0.3">
      <c r="A550" t="s">
        <v>1142</v>
      </c>
      <c r="B550" t="s">
        <v>261</v>
      </c>
      <c r="C550" t="str">
        <f>IF(SessionMovements[[#This Row],[MovementID]]="","",
   _xlfn.XLOOKUP(SessionMovements[[#This Row],[MovementID]],MovementLibrary[MovementID],MovementLibrary[Name],"")
)</f>
        <v>Clean &amp; Jerk</v>
      </c>
      <c r="D550" s="5" t="str">
        <f>IF(SessionMovements[[#This Row],[MovementID]]="","",
   _xlfn.XLOOKUP(SessionMovements[[#This Row],[MovementID]], MovementLibrary[MovementID], MovementLibrary[Modality], "")
)</f>
        <v>Barbell</v>
      </c>
      <c r="E550" s="5" t="str">
        <f>IF(SessionMovements[[#This Row],[MovementID]]="","",
   _xlfn.XLOOKUP(SessionMovements[[#This Row],[MovementID]], MovementLibrary[MovementID], MovementLibrary[Unit], "")
)</f>
        <v>kg</v>
      </c>
      <c r="F5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0">
        <v>1</v>
      </c>
      <c r="H550">
        <v>1</v>
      </c>
      <c r="J550">
        <v>97</v>
      </c>
      <c r="K550" t="s">
        <v>1128</v>
      </c>
      <c r="L550" s="5" t="str">
        <f>IF(COUNTIF(Sessions[SessionID],SessionMovements[[#This Row],[SessionID]])=0,"❌ Missing","✔ OK")</f>
        <v>✔ OK</v>
      </c>
    </row>
    <row r="551" spans="1:12" x14ac:dyDescent="0.3">
      <c r="A551" t="s">
        <v>1142</v>
      </c>
      <c r="B551" t="s">
        <v>261</v>
      </c>
      <c r="C551" t="str">
        <f>IF(SessionMovements[[#This Row],[MovementID]]="","",
   _xlfn.XLOOKUP(SessionMovements[[#This Row],[MovementID]],MovementLibrary[MovementID],MovementLibrary[Name],"")
)</f>
        <v>Clean &amp; Jerk</v>
      </c>
      <c r="D551" s="5" t="str">
        <f>IF(SessionMovements[[#This Row],[MovementID]]="","",
   _xlfn.XLOOKUP(SessionMovements[[#This Row],[MovementID]], MovementLibrary[MovementID], MovementLibrary[Modality], "")
)</f>
        <v>Barbell</v>
      </c>
      <c r="E551" s="5" t="str">
        <f>IF(SessionMovements[[#This Row],[MovementID]]="","",
   _xlfn.XLOOKUP(SessionMovements[[#This Row],[MovementID]], MovementLibrary[MovementID], MovementLibrary[Unit], "")
)</f>
        <v>kg</v>
      </c>
      <c r="F5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1">
        <v>5</v>
      </c>
      <c r="H551">
        <v>1</v>
      </c>
      <c r="J551">
        <v>82</v>
      </c>
      <c r="K551" t="s">
        <v>1129</v>
      </c>
      <c r="L551" s="5" t="str">
        <f>IF(COUNTIF(Sessions[SessionID],SessionMovements[[#This Row],[SessionID]])=0,"❌ Missing","✔ OK")</f>
        <v>✔ OK</v>
      </c>
    </row>
    <row r="552" spans="1:12" x14ac:dyDescent="0.3">
      <c r="A552" t="s">
        <v>1142</v>
      </c>
      <c r="B552" t="s">
        <v>296</v>
      </c>
      <c r="C552" t="str">
        <f>IF(SessionMovements[[#This Row],[MovementID]]="","",
   _xlfn.XLOOKUP(SessionMovements[[#This Row],[MovementID]],MovementLibrary[MovementID],MovementLibrary[Name],"")
)</f>
        <v>Front Squat</v>
      </c>
      <c r="D552" s="5" t="str">
        <f>IF(SessionMovements[[#This Row],[MovementID]]="","",
   _xlfn.XLOOKUP(SessionMovements[[#This Row],[MovementID]], MovementLibrary[MovementID], MovementLibrary[Modality], "")
)</f>
        <v>Barbell</v>
      </c>
      <c r="E552" s="5" t="str">
        <f>IF(SessionMovements[[#This Row],[MovementID]]="","",
   _xlfn.XLOOKUP(SessionMovements[[#This Row],[MovementID]], MovementLibrary[MovementID], MovementLibrary[Unit], "")
)</f>
        <v>kg</v>
      </c>
      <c r="F5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2">
        <v>4</v>
      </c>
      <c r="H552">
        <v>3</v>
      </c>
      <c r="J552">
        <v>80</v>
      </c>
      <c r="K552" t="s">
        <v>1130</v>
      </c>
      <c r="L552" s="5" t="str">
        <f>IF(COUNTIF(Sessions[SessionID],SessionMovements[[#This Row],[SessionID]])=0,"❌ Missing","✔ OK")</f>
        <v>✔ OK</v>
      </c>
    </row>
    <row r="553" spans="1:12" x14ac:dyDescent="0.3">
      <c r="A553" t="s">
        <v>1142</v>
      </c>
      <c r="B553" t="s">
        <v>296</v>
      </c>
      <c r="C553" t="str">
        <f>IF(SessionMovements[[#This Row],[MovementID]]="","",
   _xlfn.XLOOKUP(SessionMovements[[#This Row],[MovementID]],MovementLibrary[MovementID],MovementLibrary[Name],"")
)</f>
        <v>Front Squat</v>
      </c>
      <c r="D553" s="5" t="str">
        <f>IF(SessionMovements[[#This Row],[MovementID]]="","",
   _xlfn.XLOOKUP(SessionMovements[[#This Row],[MovementID]], MovementLibrary[MovementID], MovementLibrary[Modality], "")
)</f>
        <v>Barbell</v>
      </c>
      <c r="E553" s="5" t="str">
        <f>IF(SessionMovements[[#This Row],[MovementID]]="","",
   _xlfn.XLOOKUP(SessionMovements[[#This Row],[MovementID]], MovementLibrary[MovementID], MovementLibrary[Unit], "")
)</f>
        <v>kg</v>
      </c>
      <c r="F5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3">
        <v>3</v>
      </c>
      <c r="H553">
        <v>8</v>
      </c>
      <c r="J553">
        <v>65</v>
      </c>
      <c r="K553" t="s">
        <v>1131</v>
      </c>
      <c r="L553" s="5" t="str">
        <f>IF(COUNTIF(Sessions[SessionID],SessionMovements[[#This Row],[SessionID]])=0,"❌ Missing","✔ OK")</f>
        <v>✔ OK</v>
      </c>
    </row>
    <row r="554" spans="1:12" x14ac:dyDescent="0.3">
      <c r="A554" t="s">
        <v>1142</v>
      </c>
      <c r="B554" t="s">
        <v>325</v>
      </c>
      <c r="C554" t="str">
        <f>IF(SessionMovements[[#This Row],[MovementID]]="","",
   _xlfn.XLOOKUP(SessionMovements[[#This Row],[MovementID]],MovementLibrary[MovementID],MovementLibrary[Name],"")
)</f>
        <v>Split Squat</v>
      </c>
      <c r="D554" s="5" t="str">
        <f>IF(SessionMovements[[#This Row],[MovementID]]="","",
   _xlfn.XLOOKUP(SessionMovements[[#This Row],[MovementID]], MovementLibrary[MovementID], MovementLibrary[Modality], "")
)</f>
        <v>Barbell</v>
      </c>
      <c r="E554" s="5" t="str">
        <f>IF(SessionMovements[[#This Row],[MovementID]]="","",
   _xlfn.XLOOKUP(SessionMovements[[#This Row],[MovementID]], MovementLibrary[MovementID], MovementLibrary[Unit], "")
)</f>
        <v>kg</v>
      </c>
      <c r="F5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4">
        <v>4</v>
      </c>
      <c r="H554">
        <v>10</v>
      </c>
      <c r="K554" t="s">
        <v>1132</v>
      </c>
      <c r="L554" s="5" t="str">
        <f>IF(COUNTIF(Sessions[SessionID],SessionMovements[[#This Row],[SessionID]])=0,"❌ Missing","✔ OK")</f>
        <v>✔ OK</v>
      </c>
    </row>
    <row r="555" spans="1:12" x14ac:dyDescent="0.3">
      <c r="A555" t="s">
        <v>1142</v>
      </c>
      <c r="B555" t="s">
        <v>717</v>
      </c>
      <c r="C555" t="str">
        <f>IF(SessionMovements[[#This Row],[MovementID]]="","",
   _xlfn.XLOOKUP(SessionMovements[[#This Row],[MovementID]],MovementLibrary[MovementID],MovementLibrary[Name],"")
)</f>
        <v>Broad Jump</v>
      </c>
      <c r="D555" s="5" t="str">
        <f>IF(SessionMovements[[#This Row],[MovementID]]="","",
   _xlfn.XLOOKUP(SessionMovements[[#This Row],[MovementID]], MovementLibrary[MovementID], MovementLibrary[Modality], "")
)</f>
        <v>Plyometric</v>
      </c>
      <c r="E555" s="5" t="str">
        <f>IF(SessionMovements[[#This Row],[MovementID]]="","",
   _xlfn.XLOOKUP(SessionMovements[[#This Row],[MovementID]], MovementLibrary[MovementID], MovementLibrary[Unit], "")
)</f>
        <v>reps</v>
      </c>
      <c r="F5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5">
        <v>4</v>
      </c>
      <c r="H555">
        <v>3</v>
      </c>
      <c r="K555" t="s">
        <v>1133</v>
      </c>
      <c r="L555" s="5" t="str">
        <f>IF(COUNTIF(Sessions[SessionID],SessionMovements[[#This Row],[SessionID]])=0,"❌ Missing","✔ OK")</f>
        <v>✔ OK</v>
      </c>
    </row>
    <row r="556" spans="1:12" x14ac:dyDescent="0.3">
      <c r="A556" t="s">
        <v>1142</v>
      </c>
      <c r="B556" t="s">
        <v>428</v>
      </c>
      <c r="C556" t="str">
        <f>IF(SessionMovements[[#This Row],[MovementID]]="","",
   _xlfn.XLOOKUP(SessionMovements[[#This Row],[MovementID]],MovementLibrary[MovementID],MovementLibrary[Name],"")
)</f>
        <v>AbMat Sit-Up</v>
      </c>
      <c r="D556" s="5" t="str">
        <f>IF(SessionMovements[[#This Row],[MovementID]]="","",
   _xlfn.XLOOKUP(SessionMovements[[#This Row],[MovementID]], MovementLibrary[MovementID], MovementLibrary[Modality], "")
)</f>
        <v>Gymnastics</v>
      </c>
      <c r="E556" s="5" t="str">
        <f>IF(SessionMovements[[#This Row],[MovementID]]="","",
   _xlfn.XLOOKUP(SessionMovements[[#This Row],[MovementID]], MovementLibrary[MovementID], MovementLibrary[Unit], "")
)</f>
        <v>reps</v>
      </c>
      <c r="F5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6">
        <v>3</v>
      </c>
      <c r="H556">
        <v>20</v>
      </c>
      <c r="L556" s="5" t="str">
        <f>IF(COUNTIF(Sessions[SessionID],SessionMovements[[#This Row],[SessionID]])=0,"❌ Missing","✔ OK")</f>
        <v>✔ OK</v>
      </c>
    </row>
    <row r="557" spans="1:12" x14ac:dyDescent="0.3">
      <c r="A557" t="s">
        <v>1143</v>
      </c>
      <c r="B557" t="s">
        <v>275</v>
      </c>
      <c r="C557" t="str">
        <f>IF(SessionMovements[[#This Row],[MovementID]]="","",
   _xlfn.XLOOKUP(SessionMovements[[#This Row],[MovementID]],MovementLibrary[MovementID],MovementLibrary[Name],"")
)</f>
        <v>Power Snatch</v>
      </c>
      <c r="D557" s="5" t="str">
        <f>IF(SessionMovements[[#This Row],[MovementID]]="","",
   _xlfn.XLOOKUP(SessionMovements[[#This Row],[MovementID]], MovementLibrary[MovementID], MovementLibrary[Modality], "")
)</f>
        <v>Barbell</v>
      </c>
      <c r="E557" s="5" t="str">
        <f>IF(SessionMovements[[#This Row],[MovementID]]="","",
   _xlfn.XLOOKUP(SessionMovements[[#This Row],[MovementID]], MovementLibrary[MovementID], MovementLibrary[Unit], "")
)</f>
        <v>kg</v>
      </c>
      <c r="F5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7">
        <v>5</v>
      </c>
      <c r="H557">
        <v>3</v>
      </c>
      <c r="K557" t="s">
        <v>1135</v>
      </c>
      <c r="L557" s="5" t="str">
        <f>IF(COUNTIF(Sessions[SessionID],SessionMovements[[#This Row],[SessionID]])=0,"❌ Missing","✔ OK")</f>
        <v>✔ OK</v>
      </c>
    </row>
    <row r="558" spans="1:12" x14ac:dyDescent="0.3">
      <c r="A558" t="s">
        <v>1143</v>
      </c>
      <c r="B558" t="s">
        <v>553</v>
      </c>
      <c r="C558" t="str">
        <f>IF(SessionMovements[[#This Row],[MovementID]]="","",
   _xlfn.XLOOKUP(SessionMovements[[#This Row],[MovementID]],MovementLibrary[MovementID],MovementLibrary[Name],"")
)</f>
        <v>Deficit Deadlift</v>
      </c>
      <c r="D558" s="5" t="str">
        <f>IF(SessionMovements[[#This Row],[MovementID]]="","",
   _xlfn.XLOOKUP(SessionMovements[[#This Row],[MovementID]], MovementLibrary[MovementID], MovementLibrary[Modality], "")
)</f>
        <v>Barbell</v>
      </c>
      <c r="E558" s="5" t="str">
        <f>IF(SessionMovements[[#This Row],[MovementID]]="","",
   _xlfn.XLOOKUP(SessionMovements[[#This Row],[MovementID]], MovementLibrary[MovementID], MovementLibrary[Unit], "")
)</f>
        <v>kg</v>
      </c>
      <c r="F5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8">
        <v>4</v>
      </c>
      <c r="H558">
        <v>5</v>
      </c>
      <c r="K558" t="s">
        <v>1136</v>
      </c>
      <c r="L558" s="5" t="str">
        <f>IF(COUNTIF(Sessions[SessionID],SessionMovements[[#This Row],[SessionID]])=0,"❌ Missing","✔ OK")</f>
        <v>✔ OK</v>
      </c>
    </row>
    <row r="559" spans="1:12" x14ac:dyDescent="0.3">
      <c r="A559" t="s">
        <v>1143</v>
      </c>
      <c r="B559" t="s">
        <v>314</v>
      </c>
      <c r="C559" t="str">
        <f>IF(SessionMovements[[#This Row],[MovementID]]="","",
   _xlfn.XLOOKUP(SessionMovements[[#This Row],[MovementID]],MovementLibrary[MovementID],MovementLibrary[Name],"")
)</f>
        <v>Floor Press</v>
      </c>
      <c r="D559" s="5" t="str">
        <f>IF(SessionMovements[[#This Row],[MovementID]]="","",
   _xlfn.XLOOKUP(SessionMovements[[#This Row],[MovementID]], MovementLibrary[MovementID], MovementLibrary[Modality], "")
)</f>
        <v>Barbell</v>
      </c>
      <c r="E559" s="5" t="str">
        <f>IF(SessionMovements[[#This Row],[MovementID]]="","",
   _xlfn.XLOOKUP(SessionMovements[[#This Row],[MovementID]], MovementLibrary[MovementID], MovementLibrary[Unit], "")
)</f>
        <v>kg</v>
      </c>
      <c r="F5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59">
        <v>5</v>
      </c>
      <c r="H559">
        <v>10</v>
      </c>
      <c r="K559" t="s">
        <v>1137</v>
      </c>
      <c r="L559" s="5" t="str">
        <f>IF(COUNTIF(Sessions[SessionID],SessionMovements[[#This Row],[SessionID]])=0,"❌ Missing","✔ OK")</f>
        <v>✔ OK</v>
      </c>
    </row>
    <row r="560" spans="1:12" x14ac:dyDescent="0.3">
      <c r="A560" t="s">
        <v>1143</v>
      </c>
      <c r="B560" t="s">
        <v>711</v>
      </c>
      <c r="C560" t="str">
        <f>IF(SessionMovements[[#This Row],[MovementID]]="","",
   _xlfn.XLOOKUP(SessionMovements[[#This Row],[MovementID]],MovementLibrary[MovementID],MovementLibrary[Name],"")
)</f>
        <v>Ring Row</v>
      </c>
      <c r="D560" s="5" t="str">
        <f>IF(SessionMovements[[#This Row],[MovementID]]="","",
   _xlfn.XLOOKUP(SessionMovements[[#This Row],[MovementID]], MovementLibrary[MovementID], MovementLibrary[Modality], "")
)</f>
        <v>Gymnastics</v>
      </c>
      <c r="E560" s="5" t="str">
        <f>IF(SessionMovements[[#This Row],[MovementID]]="","",
   _xlfn.XLOOKUP(SessionMovements[[#This Row],[MovementID]], MovementLibrary[MovementID], MovementLibrary[Unit], "")
)</f>
        <v>reps</v>
      </c>
      <c r="F5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0">
        <v>5</v>
      </c>
      <c r="H560">
        <v>10</v>
      </c>
      <c r="K560" t="s">
        <v>1138</v>
      </c>
      <c r="L560" s="5" t="str">
        <f>IF(COUNTIF(Sessions[SessionID],SessionMovements[[#This Row],[SessionID]])=0,"❌ Missing","✔ OK")</f>
        <v>✔ OK</v>
      </c>
    </row>
    <row r="561" spans="1:12" x14ac:dyDescent="0.3">
      <c r="A561" t="s">
        <v>1143</v>
      </c>
      <c r="B561" t="s">
        <v>530</v>
      </c>
      <c r="C561" t="str">
        <f>IF(SessionMovements[[#This Row],[MovementID]]="","",
   _xlfn.XLOOKUP(SessionMovements[[#This Row],[MovementID]],MovementLibrary[MovementID],MovementLibrary[Name],"")
)</f>
        <v>Hollow Hold</v>
      </c>
      <c r="D561" s="5" t="str">
        <f>IF(SessionMovements[[#This Row],[MovementID]]="","",
   _xlfn.XLOOKUP(SessionMovements[[#This Row],[MovementID]], MovementLibrary[MovementID], MovementLibrary[Modality], "")
)</f>
        <v>Gymnastics</v>
      </c>
      <c r="E561" s="5" t="str">
        <f>IF(SessionMovements[[#This Row],[MovementID]]="","",
   _xlfn.XLOOKUP(SessionMovements[[#This Row],[MovementID]], MovementLibrary[MovementID], MovementLibrary[Unit], "")
)</f>
        <v>sec</v>
      </c>
      <c r="F5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1">
        <v>3</v>
      </c>
      <c r="H561">
        <v>30</v>
      </c>
      <c r="L561" s="5" t="str">
        <f>IF(COUNTIF(Sessions[SessionID],SessionMovements[[#This Row],[SessionID]])=0,"❌ Missing","✔ OK")</f>
        <v>✔ OK</v>
      </c>
    </row>
    <row r="562" spans="1:12" x14ac:dyDescent="0.3">
      <c r="A562" t="s">
        <v>1144</v>
      </c>
      <c r="B562" t="s">
        <v>298</v>
      </c>
      <c r="C562" t="str">
        <f>IF(SessionMovements[[#This Row],[MovementID]]="","",
   _xlfn.XLOOKUP(SessionMovements[[#This Row],[MovementID]],MovementLibrary[MovementID],MovementLibrary[Name],"")
)</f>
        <v>Back Squat</v>
      </c>
      <c r="D562" s="5" t="str">
        <f>IF(SessionMovements[[#This Row],[MovementID]]="","",
   _xlfn.XLOOKUP(SessionMovements[[#This Row],[MovementID]], MovementLibrary[MovementID], MovementLibrary[Modality], "")
)</f>
        <v>Barbell</v>
      </c>
      <c r="E562" s="5" t="str">
        <f>IF(SessionMovements[[#This Row],[MovementID]]="","",
   _xlfn.XLOOKUP(SessionMovements[[#This Row],[MovementID]], MovementLibrary[MovementID], MovementLibrary[Unit], "")
)</f>
        <v>kg</v>
      </c>
      <c r="F5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2">
        <v>4</v>
      </c>
      <c r="H562">
        <v>5</v>
      </c>
      <c r="J562">
        <v>77</v>
      </c>
      <c r="K562" t="s">
        <v>1111</v>
      </c>
      <c r="L562" s="5" t="str">
        <f>IF(COUNTIF(Sessions[SessionID],SessionMovements[[#This Row],[SessionID]])=0,"❌ Missing","✔ OK")</f>
        <v>✔ OK</v>
      </c>
    </row>
    <row r="563" spans="1:12" x14ac:dyDescent="0.3">
      <c r="A563" t="s">
        <v>1144</v>
      </c>
      <c r="B563" t="s">
        <v>298</v>
      </c>
      <c r="C563" t="str">
        <f>IF(SessionMovements[[#This Row],[MovementID]]="","",
   _xlfn.XLOOKUP(SessionMovements[[#This Row],[MovementID]],MovementLibrary[MovementID],MovementLibrary[Name],"")
)</f>
        <v>Back Squat</v>
      </c>
      <c r="D563" s="5" t="str">
        <f>IF(SessionMovements[[#This Row],[MovementID]]="","",
   _xlfn.XLOOKUP(SessionMovements[[#This Row],[MovementID]], MovementLibrary[MovementID], MovementLibrary[Modality], "")
)</f>
        <v>Barbell</v>
      </c>
      <c r="E563" s="5" t="str">
        <f>IF(SessionMovements[[#This Row],[MovementID]]="","",
   _xlfn.XLOOKUP(SessionMovements[[#This Row],[MovementID]], MovementLibrary[MovementID], MovementLibrary[Unit], "")
)</f>
        <v>kg</v>
      </c>
      <c r="F5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3">
        <v>3</v>
      </c>
      <c r="H563">
        <v>10</v>
      </c>
      <c r="J563">
        <v>66</v>
      </c>
      <c r="K563" t="s">
        <v>1112</v>
      </c>
      <c r="L563" s="5" t="str">
        <f>IF(COUNTIF(Sessions[SessionID],SessionMovements[[#This Row],[SessionID]])=0,"❌ Missing","✔ OK")</f>
        <v>✔ OK</v>
      </c>
    </row>
    <row r="564" spans="1:12" x14ac:dyDescent="0.3">
      <c r="A564" t="s">
        <v>1144</v>
      </c>
      <c r="B564" t="s">
        <v>309</v>
      </c>
      <c r="C564" t="str">
        <f>IF(SessionMovements[[#This Row],[MovementID]]="","",
   _xlfn.XLOOKUP(SessionMovements[[#This Row],[MovementID]],MovementLibrary[MovementID],MovementLibrary[Name],"")
)</f>
        <v>Romanian Deadlift</v>
      </c>
      <c r="D564" s="5" t="str">
        <f>IF(SessionMovements[[#This Row],[MovementID]]="","",
   _xlfn.XLOOKUP(SessionMovements[[#This Row],[MovementID]], MovementLibrary[MovementID], MovementLibrary[Modality], "")
)</f>
        <v>Barbell</v>
      </c>
      <c r="E564" s="5" t="str">
        <f>IF(SessionMovements[[#This Row],[MovementID]]="","",
   _xlfn.XLOOKUP(SessionMovements[[#This Row],[MovementID]], MovementLibrary[MovementID], MovementLibrary[Unit], "")
)</f>
        <v>kg</v>
      </c>
      <c r="F5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4">
        <v>4</v>
      </c>
      <c r="H564">
        <v>8</v>
      </c>
      <c r="K564" t="s">
        <v>1113</v>
      </c>
      <c r="L564" s="5" t="str">
        <f>IF(COUNTIF(Sessions[SessionID],SessionMovements[[#This Row],[SessionID]])=0,"❌ Missing","✔ OK")</f>
        <v>✔ OK</v>
      </c>
    </row>
    <row r="565" spans="1:12" x14ac:dyDescent="0.3">
      <c r="A565" t="s">
        <v>1144</v>
      </c>
      <c r="B565" t="s">
        <v>325</v>
      </c>
      <c r="C565" t="str">
        <f>IF(SessionMovements[[#This Row],[MovementID]]="","",
   _xlfn.XLOOKUP(SessionMovements[[#This Row],[MovementID]],MovementLibrary[MovementID],MovementLibrary[Name],"")
)</f>
        <v>Split Squat</v>
      </c>
      <c r="D565" s="5" t="str">
        <f>IF(SessionMovements[[#This Row],[MovementID]]="","",
   _xlfn.XLOOKUP(SessionMovements[[#This Row],[MovementID]], MovementLibrary[MovementID], MovementLibrary[Modality], "")
)</f>
        <v>Barbell</v>
      </c>
      <c r="E565" s="5" t="str">
        <f>IF(SessionMovements[[#This Row],[MovementID]]="","",
   _xlfn.XLOOKUP(SessionMovements[[#This Row],[MovementID]], MovementLibrary[MovementID], MovementLibrary[Unit], "")
)</f>
        <v>kg</v>
      </c>
      <c r="F5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5">
        <v>4</v>
      </c>
      <c r="H565">
        <v>10</v>
      </c>
      <c r="K565" t="s">
        <v>1114</v>
      </c>
      <c r="L565" s="5" t="str">
        <f>IF(COUNTIF(Sessions[SessionID],SessionMovements[[#This Row],[SessionID]])=0,"❌ Missing","✔ OK")</f>
        <v>✔ OK</v>
      </c>
    </row>
    <row r="566" spans="1:12" x14ac:dyDescent="0.3">
      <c r="A566" t="s">
        <v>1144</v>
      </c>
      <c r="B566" t="s">
        <v>717</v>
      </c>
      <c r="C566" t="str">
        <f>IF(SessionMovements[[#This Row],[MovementID]]="","",
   _xlfn.XLOOKUP(SessionMovements[[#This Row],[MovementID]],MovementLibrary[MovementID],MovementLibrary[Name],"")
)</f>
        <v>Broad Jump</v>
      </c>
      <c r="D566" s="5" t="str">
        <f>IF(SessionMovements[[#This Row],[MovementID]]="","",
   _xlfn.XLOOKUP(SessionMovements[[#This Row],[MovementID]], MovementLibrary[MovementID], MovementLibrary[Modality], "")
)</f>
        <v>Plyometric</v>
      </c>
      <c r="E566" s="5" t="str">
        <f>IF(SessionMovements[[#This Row],[MovementID]]="","",
   _xlfn.XLOOKUP(SessionMovements[[#This Row],[MovementID]], MovementLibrary[MovementID], MovementLibrary[Unit], "")
)</f>
        <v>reps</v>
      </c>
      <c r="F5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6">
        <v>5</v>
      </c>
      <c r="H566">
        <v>3</v>
      </c>
      <c r="K566" t="s">
        <v>1115</v>
      </c>
      <c r="L566" s="5" t="str">
        <f>IF(COUNTIF(Sessions[SessionID],SessionMovements[[#This Row],[SessionID]])=0,"❌ Missing","✔ OK")</f>
        <v>✔ OK</v>
      </c>
    </row>
    <row r="567" spans="1:12" x14ac:dyDescent="0.3">
      <c r="A567" t="s">
        <v>1144</v>
      </c>
      <c r="B567" t="s">
        <v>428</v>
      </c>
      <c r="C567" t="str">
        <f>IF(SessionMovements[[#This Row],[MovementID]]="","",
   _xlfn.XLOOKUP(SessionMovements[[#This Row],[MovementID]],MovementLibrary[MovementID],MovementLibrary[Name],"")
)</f>
        <v>AbMat Sit-Up</v>
      </c>
      <c r="D567" s="5" t="str">
        <f>IF(SessionMovements[[#This Row],[MovementID]]="","",
   _xlfn.XLOOKUP(SessionMovements[[#This Row],[MovementID]], MovementLibrary[MovementID], MovementLibrary[Modality], "")
)</f>
        <v>Gymnastics</v>
      </c>
      <c r="E567" s="5" t="str">
        <f>IF(SessionMovements[[#This Row],[MovementID]]="","",
   _xlfn.XLOOKUP(SessionMovements[[#This Row],[MovementID]], MovementLibrary[MovementID], MovementLibrary[Unit], "")
)</f>
        <v>reps</v>
      </c>
      <c r="F5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7">
        <v>3</v>
      </c>
      <c r="H567">
        <v>20</v>
      </c>
      <c r="L567" s="5" t="str">
        <f>IF(COUNTIF(Sessions[SessionID],SessionMovements[[#This Row],[SessionID]])=0,"❌ Missing","✔ OK")</f>
        <v>✔ OK</v>
      </c>
    </row>
    <row r="568" spans="1:12" x14ac:dyDescent="0.3">
      <c r="A568" t="s">
        <v>1145</v>
      </c>
      <c r="B568" t="s">
        <v>263</v>
      </c>
      <c r="C568" t="str">
        <f>IF(SessionMovements[[#This Row],[MovementID]]="","",
   _xlfn.XLOOKUP(SessionMovements[[#This Row],[MovementID]],MovementLibrary[MovementID],MovementLibrary[Name],"")
)</f>
        <v>Split Jerk</v>
      </c>
      <c r="D568" s="5" t="str">
        <f>IF(SessionMovements[[#This Row],[MovementID]]="","",
   _xlfn.XLOOKUP(SessionMovements[[#This Row],[MovementID]], MovementLibrary[MovementID], MovementLibrary[Modality], "")
)</f>
        <v>Barbell</v>
      </c>
      <c r="E568" s="5" t="str">
        <f>IF(SessionMovements[[#This Row],[MovementID]]="","",
   _xlfn.XLOOKUP(SessionMovements[[#This Row],[MovementID]], MovementLibrary[MovementID], MovementLibrary[Unit], "")
)</f>
        <v>kg</v>
      </c>
      <c r="F5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8">
        <v>5</v>
      </c>
      <c r="H568">
        <v>3</v>
      </c>
      <c r="J568">
        <v>78</v>
      </c>
      <c r="K568" t="s">
        <v>1117</v>
      </c>
      <c r="L568" s="5" t="str">
        <f>IF(COUNTIF(Sessions[SessionID],SessionMovements[[#This Row],[SessionID]])=0,"❌ Missing","✔ OK")</f>
        <v>✔ OK</v>
      </c>
    </row>
    <row r="569" spans="1:12" x14ac:dyDescent="0.3">
      <c r="A569" t="s">
        <v>1145</v>
      </c>
      <c r="B569" t="s">
        <v>292</v>
      </c>
      <c r="C569" t="str">
        <f>IF(SessionMovements[[#This Row],[MovementID]]="","",
   _xlfn.XLOOKUP(SessionMovements[[#This Row],[MovementID]],MovementLibrary[MovementID],MovementLibrary[Name],"")
)</f>
        <v>Push Press</v>
      </c>
      <c r="D569" s="5" t="str">
        <f>IF(SessionMovements[[#This Row],[MovementID]]="","",
   _xlfn.XLOOKUP(SessionMovements[[#This Row],[MovementID]], MovementLibrary[MovementID], MovementLibrary[Modality], "")
)</f>
        <v>Barbell</v>
      </c>
      <c r="E569" s="5" t="str">
        <f>IF(SessionMovements[[#This Row],[MovementID]]="","",
   _xlfn.XLOOKUP(SessionMovements[[#This Row],[MovementID]], MovementLibrary[MovementID], MovementLibrary[Unit], "")
)</f>
        <v>kg</v>
      </c>
      <c r="F5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69">
        <v>5</v>
      </c>
      <c r="H569">
        <v>6</v>
      </c>
      <c r="K569" t="s">
        <v>1118</v>
      </c>
      <c r="L569" s="5" t="str">
        <f>IF(COUNTIF(Sessions[SessionID],SessionMovements[[#This Row],[SessionID]])=0,"❌ Missing","✔ OK")</f>
        <v>✔ OK</v>
      </c>
    </row>
    <row r="570" spans="1:12" x14ac:dyDescent="0.3">
      <c r="A570" t="s">
        <v>1145</v>
      </c>
      <c r="B570" t="s">
        <v>256</v>
      </c>
      <c r="C570" t="str">
        <f>IF(SessionMovements[[#This Row],[MovementID]]="","",
   _xlfn.XLOOKUP(SessionMovements[[#This Row],[MovementID]],MovementLibrary[MovementID],MovementLibrary[Name],"")
)</f>
        <v>Bench Press</v>
      </c>
      <c r="D570" s="5" t="str">
        <f>IF(SessionMovements[[#This Row],[MovementID]]="","",
   _xlfn.XLOOKUP(SessionMovements[[#This Row],[MovementID]], MovementLibrary[MovementID], MovementLibrary[Modality], "")
)</f>
        <v>Barbell</v>
      </c>
      <c r="E570" s="5" t="str">
        <f>IF(SessionMovements[[#This Row],[MovementID]]="","",
   _xlfn.XLOOKUP(SessionMovements[[#This Row],[MovementID]], MovementLibrary[MovementID], MovementLibrary[Unit], "")
)</f>
        <v>kg</v>
      </c>
      <c r="F5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0">
        <v>4</v>
      </c>
      <c r="H570">
        <v>10</v>
      </c>
      <c r="K570" t="s">
        <v>1119</v>
      </c>
      <c r="L570" s="5" t="str">
        <f>IF(COUNTIF(Sessions[SessionID],SessionMovements[[#This Row],[SessionID]])=0,"❌ Missing","✔ OK")</f>
        <v>✔ OK</v>
      </c>
    </row>
    <row r="571" spans="1:12" x14ac:dyDescent="0.3">
      <c r="A571" t="s">
        <v>1145</v>
      </c>
      <c r="B571" t="s">
        <v>439</v>
      </c>
      <c r="C571" t="str">
        <f>IF(SessionMovements[[#This Row],[MovementID]]="","",
   _xlfn.XLOOKUP(SessionMovements[[#This Row],[MovementID]],MovementLibrary[MovementID],MovementLibrary[Name],"")
)</f>
        <v>Ring Push-Up</v>
      </c>
      <c r="D571" s="5" t="str">
        <f>IF(SessionMovements[[#This Row],[MovementID]]="","",
   _xlfn.XLOOKUP(SessionMovements[[#This Row],[MovementID]], MovementLibrary[MovementID], MovementLibrary[Modality], "")
)</f>
        <v>Gymnastics</v>
      </c>
      <c r="E571" s="5" t="str">
        <f>IF(SessionMovements[[#This Row],[MovementID]]="","",
   _xlfn.XLOOKUP(SessionMovements[[#This Row],[MovementID]], MovementLibrary[MovementID], MovementLibrary[Unit], "")
)</f>
        <v>reps</v>
      </c>
      <c r="F5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1">
        <v>4</v>
      </c>
      <c r="H571">
        <v>10</v>
      </c>
      <c r="K571" t="s">
        <v>1120</v>
      </c>
      <c r="L571" s="5" t="str">
        <f>IF(COUNTIF(Sessions[SessionID],SessionMovements[[#This Row],[SessionID]])=0,"❌ Missing","✔ OK")</f>
        <v>✔ OK</v>
      </c>
    </row>
    <row r="572" spans="1:12" x14ac:dyDescent="0.3">
      <c r="A572" t="s">
        <v>1145</v>
      </c>
      <c r="B572" t="s">
        <v>437</v>
      </c>
      <c r="C572" t="str">
        <f>IF(SessionMovements[[#This Row],[MovementID]]="","",
   _xlfn.XLOOKUP(SessionMovements[[#This Row],[MovementID]],MovementLibrary[MovementID],MovementLibrary[Name],"")
)</f>
        <v>Plank Hold</v>
      </c>
      <c r="D572" s="5" t="str">
        <f>IF(SessionMovements[[#This Row],[MovementID]]="","",
   _xlfn.XLOOKUP(SessionMovements[[#This Row],[MovementID]], MovementLibrary[MovementID], MovementLibrary[Modality], "")
)</f>
        <v>Gymnastics</v>
      </c>
      <c r="E572" s="5" t="str">
        <f>IF(SessionMovements[[#This Row],[MovementID]]="","",
   _xlfn.XLOOKUP(SessionMovements[[#This Row],[MovementID]], MovementLibrary[MovementID], MovementLibrary[Unit], "")
)</f>
        <v>sec</v>
      </c>
      <c r="F5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2">
        <v>3</v>
      </c>
      <c r="H572">
        <v>40</v>
      </c>
      <c r="K572" t="s">
        <v>1121</v>
      </c>
      <c r="L572" s="5" t="str">
        <f>IF(COUNTIF(Sessions[SessionID],SessionMovements[[#This Row],[SessionID]])=0,"❌ Missing","✔ OK")</f>
        <v>✔ OK</v>
      </c>
    </row>
    <row r="573" spans="1:12" x14ac:dyDescent="0.3">
      <c r="A573" t="s">
        <v>1146</v>
      </c>
      <c r="B573" t="s">
        <v>259</v>
      </c>
      <c r="C573" t="str">
        <f>IF(SessionMovements[[#This Row],[MovementID]]="","",
   _xlfn.XLOOKUP(SessionMovements[[#This Row],[MovementID]],MovementLibrary[MovementID],MovementLibrary[Name],"")
)</f>
        <v>Power Clean</v>
      </c>
      <c r="D573" s="5" t="str">
        <f>IF(SessionMovements[[#This Row],[MovementID]]="","",
   _xlfn.XLOOKUP(SessionMovements[[#This Row],[MovementID]], MovementLibrary[MovementID], MovementLibrary[Modality], "")
)</f>
        <v>Barbell</v>
      </c>
      <c r="E573" s="5" t="str">
        <f>IF(SessionMovements[[#This Row],[MovementID]]="","",
   _xlfn.XLOOKUP(SessionMovements[[#This Row],[MovementID]], MovementLibrary[MovementID], MovementLibrary[Unit], "")
)</f>
        <v>kg</v>
      </c>
      <c r="F5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3">
        <v>5</v>
      </c>
      <c r="H573">
        <v>3</v>
      </c>
      <c r="K573" t="s">
        <v>1123</v>
      </c>
      <c r="L573" s="5" t="str">
        <f>IF(COUNTIF(Sessions[SessionID],SessionMovements[[#This Row],[SessionID]])=0,"❌ Missing","✔ OK")</f>
        <v>✔ OK</v>
      </c>
    </row>
    <row r="574" spans="1:12" x14ac:dyDescent="0.3">
      <c r="A574" t="s">
        <v>1146</v>
      </c>
      <c r="B574" t="s">
        <v>553</v>
      </c>
      <c r="C574" t="str">
        <f>IF(SessionMovements[[#This Row],[MovementID]]="","",
   _xlfn.XLOOKUP(SessionMovements[[#This Row],[MovementID]],MovementLibrary[MovementID],MovementLibrary[Name],"")
)</f>
        <v>Deficit Deadlift</v>
      </c>
      <c r="D574" s="5" t="str">
        <f>IF(SessionMovements[[#This Row],[MovementID]]="","",
   _xlfn.XLOOKUP(SessionMovements[[#This Row],[MovementID]], MovementLibrary[MovementID], MovementLibrary[Modality], "")
)</f>
        <v>Barbell</v>
      </c>
      <c r="E574" s="5" t="str">
        <f>IF(SessionMovements[[#This Row],[MovementID]]="","",
   _xlfn.XLOOKUP(SessionMovements[[#This Row],[MovementID]], MovementLibrary[MovementID], MovementLibrary[Unit], "")
)</f>
        <v>kg</v>
      </c>
      <c r="F5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4">
        <v>4</v>
      </c>
      <c r="H574">
        <v>5</v>
      </c>
      <c r="K574" t="s">
        <v>1124</v>
      </c>
      <c r="L574" s="5" t="str">
        <f>IF(COUNTIF(Sessions[SessionID],SessionMovements[[#This Row],[SessionID]])=0,"❌ Missing","✔ OK")</f>
        <v>✔ OK</v>
      </c>
    </row>
    <row r="575" spans="1:12" x14ac:dyDescent="0.3">
      <c r="A575" t="s">
        <v>1146</v>
      </c>
      <c r="B575" t="s">
        <v>711</v>
      </c>
      <c r="C575" t="str">
        <f>IF(SessionMovements[[#This Row],[MovementID]]="","",
   _xlfn.XLOOKUP(SessionMovements[[#This Row],[MovementID]],MovementLibrary[MovementID],MovementLibrary[Name],"")
)</f>
        <v>Ring Row</v>
      </c>
      <c r="D575" s="5" t="str">
        <f>IF(SessionMovements[[#This Row],[MovementID]]="","",
   _xlfn.XLOOKUP(SessionMovements[[#This Row],[MovementID]], MovementLibrary[MovementID], MovementLibrary[Modality], "")
)</f>
        <v>Gymnastics</v>
      </c>
      <c r="E575" s="5" t="str">
        <f>IF(SessionMovements[[#This Row],[MovementID]]="","",
   _xlfn.XLOOKUP(SessionMovements[[#This Row],[MovementID]], MovementLibrary[MovementID], MovementLibrary[Unit], "")
)</f>
        <v>reps</v>
      </c>
      <c r="F5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5">
        <v>4</v>
      </c>
      <c r="H575">
        <v>10</v>
      </c>
      <c r="K575" t="s">
        <v>1125</v>
      </c>
      <c r="L575" s="5" t="str">
        <f>IF(COUNTIF(Sessions[SessionID],SessionMovements[[#This Row],[SessionID]])=0,"❌ Missing","✔ OK")</f>
        <v>✔ OK</v>
      </c>
    </row>
    <row r="576" spans="1:12" x14ac:dyDescent="0.3">
      <c r="A576" t="s">
        <v>1146</v>
      </c>
      <c r="B576" t="s">
        <v>388</v>
      </c>
      <c r="C576" t="str">
        <f>IF(SessionMovements[[#This Row],[MovementID]]="","",
   _xlfn.XLOOKUP(SessionMovements[[#This Row],[MovementID]],MovementLibrary[MovementID],MovementLibrary[Name],"")
)</f>
        <v>Pull-Up</v>
      </c>
      <c r="D576" s="5" t="str">
        <f>IF(SessionMovements[[#This Row],[MovementID]]="","",
   _xlfn.XLOOKUP(SessionMovements[[#This Row],[MovementID]], MovementLibrary[MovementID], MovementLibrary[Modality], "")
)</f>
        <v>Gymnastics</v>
      </c>
      <c r="E576" s="5" t="str">
        <f>IF(SessionMovements[[#This Row],[MovementID]]="","",
   _xlfn.XLOOKUP(SessionMovements[[#This Row],[MovementID]], MovementLibrary[MovementID], MovementLibrary[Unit], "")
)</f>
        <v>reps</v>
      </c>
      <c r="F5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6">
        <v>4</v>
      </c>
      <c r="H576">
        <v>8</v>
      </c>
      <c r="K576" t="s">
        <v>1126</v>
      </c>
      <c r="L576" s="5" t="str">
        <f>IF(COUNTIF(Sessions[SessionID],SessionMovements[[#This Row],[SessionID]])=0,"❌ Missing","✔ OK")</f>
        <v>✔ OK</v>
      </c>
    </row>
    <row r="577" spans="1:12" x14ac:dyDescent="0.3">
      <c r="A577" t="s">
        <v>1146</v>
      </c>
      <c r="B577" t="s">
        <v>530</v>
      </c>
      <c r="C577" t="str">
        <f>IF(SessionMovements[[#This Row],[MovementID]]="","",
   _xlfn.XLOOKUP(SessionMovements[[#This Row],[MovementID]],MovementLibrary[MovementID],MovementLibrary[Name],"")
)</f>
        <v>Hollow Hold</v>
      </c>
      <c r="D577" s="5" t="str">
        <f>IF(SessionMovements[[#This Row],[MovementID]]="","",
   _xlfn.XLOOKUP(SessionMovements[[#This Row],[MovementID]], MovementLibrary[MovementID], MovementLibrary[Modality], "")
)</f>
        <v>Gymnastics</v>
      </c>
      <c r="E577" s="5" t="str">
        <f>IF(SessionMovements[[#This Row],[MovementID]]="","",
   _xlfn.XLOOKUP(SessionMovements[[#This Row],[MovementID]], MovementLibrary[MovementID], MovementLibrary[Unit], "")
)</f>
        <v>sec</v>
      </c>
      <c r="F5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7">
        <v>3</v>
      </c>
      <c r="H577">
        <v>30</v>
      </c>
      <c r="L577" s="5" t="str">
        <f>IF(COUNTIF(Sessions[SessionID],SessionMovements[[#This Row],[SessionID]])=0,"❌ Missing","✔ OK")</f>
        <v>✔ OK</v>
      </c>
    </row>
    <row r="578" spans="1:12" x14ac:dyDescent="0.3">
      <c r="A578" t="s">
        <v>1147</v>
      </c>
      <c r="B578" t="s">
        <v>260</v>
      </c>
      <c r="C578" t="str">
        <f>IF(SessionMovements[[#This Row],[MovementID]]="","",
   _xlfn.XLOOKUP(SessionMovements[[#This Row],[MovementID]],MovementLibrary[MovementID],MovementLibrary[Name],"")
)</f>
        <v>Snatch</v>
      </c>
      <c r="D578" s="5" t="str">
        <f>IF(SessionMovements[[#This Row],[MovementID]]="","",
   _xlfn.XLOOKUP(SessionMovements[[#This Row],[MovementID]], MovementLibrary[MovementID], MovementLibrary[Modality], "")
)</f>
        <v>Barbell</v>
      </c>
      <c r="E578" s="5" t="str">
        <f>IF(SessionMovements[[#This Row],[MovementID]]="","",
   _xlfn.XLOOKUP(SessionMovements[[#This Row],[MovementID]], MovementLibrary[MovementID], MovementLibrary[Unit], "")
)</f>
        <v>kg</v>
      </c>
      <c r="F5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8">
        <v>1</v>
      </c>
      <c r="H578">
        <v>1</v>
      </c>
      <c r="J578">
        <v>100</v>
      </c>
      <c r="K578" t="s">
        <v>1128</v>
      </c>
      <c r="L578" s="5" t="str">
        <f>IF(COUNTIF(Sessions[SessionID],SessionMovements[[#This Row],[SessionID]])=0,"❌ Missing","✔ OK")</f>
        <v>✔ OK</v>
      </c>
    </row>
    <row r="579" spans="1:12" x14ac:dyDescent="0.3">
      <c r="A579" t="s">
        <v>1147</v>
      </c>
      <c r="B579" t="s">
        <v>260</v>
      </c>
      <c r="C579" t="str">
        <f>IF(SessionMovements[[#This Row],[MovementID]]="","",
   _xlfn.XLOOKUP(SessionMovements[[#This Row],[MovementID]],MovementLibrary[MovementID],MovementLibrary[Name],"")
)</f>
        <v>Snatch</v>
      </c>
      <c r="D579" s="5" t="str">
        <f>IF(SessionMovements[[#This Row],[MovementID]]="","",
   _xlfn.XLOOKUP(SessionMovements[[#This Row],[MovementID]], MovementLibrary[MovementID], MovementLibrary[Modality], "")
)</f>
        <v>Barbell</v>
      </c>
      <c r="E579" s="5" t="str">
        <f>IF(SessionMovements[[#This Row],[MovementID]]="","",
   _xlfn.XLOOKUP(SessionMovements[[#This Row],[MovementID]], MovementLibrary[MovementID], MovementLibrary[Unit], "")
)</f>
        <v>kg</v>
      </c>
      <c r="F5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79">
        <v>5</v>
      </c>
      <c r="H579">
        <v>1</v>
      </c>
      <c r="J579">
        <v>85</v>
      </c>
      <c r="K579" t="s">
        <v>1129</v>
      </c>
      <c r="L579" s="5" t="str">
        <f>IF(COUNTIF(Sessions[SessionID],SessionMovements[[#This Row],[SessionID]])=0,"❌ Missing","✔ OK")</f>
        <v>✔ OK</v>
      </c>
    </row>
    <row r="580" spans="1:12" x14ac:dyDescent="0.3">
      <c r="A580" t="s">
        <v>1147</v>
      </c>
      <c r="B580" t="s">
        <v>261</v>
      </c>
      <c r="C580" t="str">
        <f>IF(SessionMovements[[#This Row],[MovementID]]="","",
   _xlfn.XLOOKUP(SessionMovements[[#This Row],[MovementID]],MovementLibrary[MovementID],MovementLibrary[Name],"")
)</f>
        <v>Clean &amp; Jerk</v>
      </c>
      <c r="D580" s="5" t="str">
        <f>IF(SessionMovements[[#This Row],[MovementID]]="","",
   _xlfn.XLOOKUP(SessionMovements[[#This Row],[MovementID]], MovementLibrary[MovementID], MovementLibrary[Modality], "")
)</f>
        <v>Barbell</v>
      </c>
      <c r="E580" s="5" t="str">
        <f>IF(SessionMovements[[#This Row],[MovementID]]="","",
   _xlfn.XLOOKUP(SessionMovements[[#This Row],[MovementID]], MovementLibrary[MovementID], MovementLibrary[Unit], "")
)</f>
        <v>kg</v>
      </c>
      <c r="F5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0">
        <v>1</v>
      </c>
      <c r="H580">
        <v>1</v>
      </c>
      <c r="J580">
        <v>100</v>
      </c>
      <c r="K580" t="s">
        <v>1128</v>
      </c>
      <c r="L580" s="5" t="str">
        <f>IF(COUNTIF(Sessions[SessionID],SessionMovements[[#This Row],[SessionID]])=0,"❌ Missing","✔ OK")</f>
        <v>✔ OK</v>
      </c>
    </row>
    <row r="581" spans="1:12" x14ac:dyDescent="0.3">
      <c r="A581" t="s">
        <v>1147</v>
      </c>
      <c r="B581" t="s">
        <v>261</v>
      </c>
      <c r="C581" t="str">
        <f>IF(SessionMovements[[#This Row],[MovementID]]="","",
   _xlfn.XLOOKUP(SessionMovements[[#This Row],[MovementID]],MovementLibrary[MovementID],MovementLibrary[Name],"")
)</f>
        <v>Clean &amp; Jerk</v>
      </c>
      <c r="D581" s="5" t="str">
        <f>IF(SessionMovements[[#This Row],[MovementID]]="","",
   _xlfn.XLOOKUP(SessionMovements[[#This Row],[MovementID]], MovementLibrary[MovementID], MovementLibrary[Modality], "")
)</f>
        <v>Barbell</v>
      </c>
      <c r="E581" s="5" t="str">
        <f>IF(SessionMovements[[#This Row],[MovementID]]="","",
   _xlfn.XLOOKUP(SessionMovements[[#This Row],[MovementID]], MovementLibrary[MovementID], MovementLibrary[Unit], "")
)</f>
        <v>kg</v>
      </c>
      <c r="F5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1">
        <v>5</v>
      </c>
      <c r="H581">
        <v>1</v>
      </c>
      <c r="J581">
        <v>85</v>
      </c>
      <c r="K581" t="s">
        <v>1129</v>
      </c>
      <c r="L581" s="5" t="str">
        <f>IF(COUNTIF(Sessions[SessionID],SessionMovements[[#This Row],[SessionID]])=0,"❌ Missing","✔ OK")</f>
        <v>✔ OK</v>
      </c>
    </row>
    <row r="582" spans="1:12" x14ac:dyDescent="0.3">
      <c r="A582" t="s">
        <v>1147</v>
      </c>
      <c r="B582" t="s">
        <v>296</v>
      </c>
      <c r="C582" t="str">
        <f>IF(SessionMovements[[#This Row],[MovementID]]="","",
   _xlfn.XLOOKUP(SessionMovements[[#This Row],[MovementID]],MovementLibrary[MovementID],MovementLibrary[Name],"")
)</f>
        <v>Front Squat</v>
      </c>
      <c r="D582" s="5" t="str">
        <f>IF(SessionMovements[[#This Row],[MovementID]]="","",
   _xlfn.XLOOKUP(SessionMovements[[#This Row],[MovementID]], MovementLibrary[MovementID], MovementLibrary[Modality], "")
)</f>
        <v>Barbell</v>
      </c>
      <c r="E582" s="5" t="str">
        <f>IF(SessionMovements[[#This Row],[MovementID]]="","",
   _xlfn.XLOOKUP(SessionMovements[[#This Row],[MovementID]], MovementLibrary[MovementID], MovementLibrary[Unit], "")
)</f>
        <v>kg</v>
      </c>
      <c r="F5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2">
        <v>4</v>
      </c>
      <c r="H582">
        <v>3</v>
      </c>
      <c r="J582">
        <v>83</v>
      </c>
      <c r="K582" t="s">
        <v>1130</v>
      </c>
      <c r="L582" s="5" t="str">
        <f>IF(COUNTIF(Sessions[SessionID],SessionMovements[[#This Row],[SessionID]])=0,"❌ Missing","✔ OK")</f>
        <v>✔ OK</v>
      </c>
    </row>
    <row r="583" spans="1:12" x14ac:dyDescent="0.3">
      <c r="A583" t="s">
        <v>1147</v>
      </c>
      <c r="B583" t="s">
        <v>296</v>
      </c>
      <c r="C583" t="str">
        <f>IF(SessionMovements[[#This Row],[MovementID]]="","",
   _xlfn.XLOOKUP(SessionMovements[[#This Row],[MovementID]],MovementLibrary[MovementID],MovementLibrary[Name],"")
)</f>
        <v>Front Squat</v>
      </c>
      <c r="D583" s="5" t="str">
        <f>IF(SessionMovements[[#This Row],[MovementID]]="","",
   _xlfn.XLOOKUP(SessionMovements[[#This Row],[MovementID]], MovementLibrary[MovementID], MovementLibrary[Modality], "")
)</f>
        <v>Barbell</v>
      </c>
      <c r="E583" s="5" t="str">
        <f>IF(SessionMovements[[#This Row],[MovementID]]="","",
   _xlfn.XLOOKUP(SessionMovements[[#This Row],[MovementID]], MovementLibrary[MovementID], MovementLibrary[Unit], "")
)</f>
        <v>kg</v>
      </c>
      <c r="F5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3">
        <v>3</v>
      </c>
      <c r="H583">
        <v>8</v>
      </c>
      <c r="J583">
        <v>68</v>
      </c>
      <c r="K583" t="s">
        <v>1131</v>
      </c>
      <c r="L583" s="5" t="str">
        <f>IF(COUNTIF(Sessions[SessionID],SessionMovements[[#This Row],[SessionID]])=0,"❌ Missing","✔ OK")</f>
        <v>✔ OK</v>
      </c>
    </row>
    <row r="584" spans="1:12" x14ac:dyDescent="0.3">
      <c r="A584" t="s">
        <v>1147</v>
      </c>
      <c r="B584" t="s">
        <v>325</v>
      </c>
      <c r="C584" t="str">
        <f>IF(SessionMovements[[#This Row],[MovementID]]="","",
   _xlfn.XLOOKUP(SessionMovements[[#This Row],[MovementID]],MovementLibrary[MovementID],MovementLibrary[Name],"")
)</f>
        <v>Split Squat</v>
      </c>
      <c r="D584" s="5" t="str">
        <f>IF(SessionMovements[[#This Row],[MovementID]]="","",
   _xlfn.XLOOKUP(SessionMovements[[#This Row],[MovementID]], MovementLibrary[MovementID], MovementLibrary[Modality], "")
)</f>
        <v>Barbell</v>
      </c>
      <c r="E584" s="5" t="str">
        <f>IF(SessionMovements[[#This Row],[MovementID]]="","",
   _xlfn.XLOOKUP(SessionMovements[[#This Row],[MovementID]], MovementLibrary[MovementID], MovementLibrary[Unit], "")
)</f>
        <v>kg</v>
      </c>
      <c r="F5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4">
        <v>4</v>
      </c>
      <c r="H584">
        <v>10</v>
      </c>
      <c r="K584" t="s">
        <v>1132</v>
      </c>
      <c r="L584" s="5" t="str">
        <f>IF(COUNTIF(Sessions[SessionID],SessionMovements[[#This Row],[SessionID]])=0,"❌ Missing","✔ OK")</f>
        <v>✔ OK</v>
      </c>
    </row>
    <row r="585" spans="1:12" x14ac:dyDescent="0.3">
      <c r="A585" t="s">
        <v>1147</v>
      </c>
      <c r="B585" t="s">
        <v>717</v>
      </c>
      <c r="C585" t="str">
        <f>IF(SessionMovements[[#This Row],[MovementID]]="","",
   _xlfn.XLOOKUP(SessionMovements[[#This Row],[MovementID]],MovementLibrary[MovementID],MovementLibrary[Name],"")
)</f>
        <v>Broad Jump</v>
      </c>
      <c r="D585" s="5" t="str">
        <f>IF(SessionMovements[[#This Row],[MovementID]]="","",
   _xlfn.XLOOKUP(SessionMovements[[#This Row],[MovementID]], MovementLibrary[MovementID], MovementLibrary[Modality], "")
)</f>
        <v>Plyometric</v>
      </c>
      <c r="E585" s="5" t="str">
        <f>IF(SessionMovements[[#This Row],[MovementID]]="","",
   _xlfn.XLOOKUP(SessionMovements[[#This Row],[MovementID]], MovementLibrary[MovementID], MovementLibrary[Unit], "")
)</f>
        <v>reps</v>
      </c>
      <c r="F5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5">
        <v>4</v>
      </c>
      <c r="H585">
        <v>3</v>
      </c>
      <c r="K585" t="s">
        <v>1133</v>
      </c>
      <c r="L585" s="5" t="str">
        <f>IF(COUNTIF(Sessions[SessionID],SessionMovements[[#This Row],[SessionID]])=0,"❌ Missing","✔ OK")</f>
        <v>✔ OK</v>
      </c>
    </row>
    <row r="586" spans="1:12" x14ac:dyDescent="0.3">
      <c r="A586" t="s">
        <v>1147</v>
      </c>
      <c r="B586" t="s">
        <v>428</v>
      </c>
      <c r="C586" t="str">
        <f>IF(SessionMovements[[#This Row],[MovementID]]="","",
   _xlfn.XLOOKUP(SessionMovements[[#This Row],[MovementID]],MovementLibrary[MovementID],MovementLibrary[Name],"")
)</f>
        <v>AbMat Sit-Up</v>
      </c>
      <c r="D586" s="5" t="str">
        <f>IF(SessionMovements[[#This Row],[MovementID]]="","",
   _xlfn.XLOOKUP(SessionMovements[[#This Row],[MovementID]], MovementLibrary[MovementID], MovementLibrary[Modality], "")
)</f>
        <v>Gymnastics</v>
      </c>
      <c r="E586" s="5" t="str">
        <f>IF(SessionMovements[[#This Row],[MovementID]]="","",
   _xlfn.XLOOKUP(SessionMovements[[#This Row],[MovementID]], MovementLibrary[MovementID], MovementLibrary[Unit], "")
)</f>
        <v>reps</v>
      </c>
      <c r="F5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6">
        <v>3</v>
      </c>
      <c r="H586">
        <v>20</v>
      </c>
      <c r="L586" s="5" t="str">
        <f>IF(COUNTIF(Sessions[SessionID],SessionMovements[[#This Row],[SessionID]])=0,"❌ Missing","✔ OK")</f>
        <v>✔ OK</v>
      </c>
    </row>
    <row r="587" spans="1:12" x14ac:dyDescent="0.3">
      <c r="A587" t="s">
        <v>1148</v>
      </c>
      <c r="B587" t="s">
        <v>275</v>
      </c>
      <c r="C587" t="str">
        <f>IF(SessionMovements[[#This Row],[MovementID]]="","",
   _xlfn.XLOOKUP(SessionMovements[[#This Row],[MovementID]],MovementLibrary[MovementID],MovementLibrary[Name],"")
)</f>
        <v>Power Snatch</v>
      </c>
      <c r="D587" s="5" t="str">
        <f>IF(SessionMovements[[#This Row],[MovementID]]="","",
   _xlfn.XLOOKUP(SessionMovements[[#This Row],[MovementID]], MovementLibrary[MovementID], MovementLibrary[Modality], "")
)</f>
        <v>Barbell</v>
      </c>
      <c r="E587" s="5" t="str">
        <f>IF(SessionMovements[[#This Row],[MovementID]]="","",
   _xlfn.XLOOKUP(SessionMovements[[#This Row],[MovementID]], MovementLibrary[MovementID], MovementLibrary[Unit], "")
)</f>
        <v>kg</v>
      </c>
      <c r="F5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7">
        <v>5</v>
      </c>
      <c r="H587">
        <v>3</v>
      </c>
      <c r="K587" t="s">
        <v>1135</v>
      </c>
      <c r="L587" s="5" t="str">
        <f>IF(COUNTIF(Sessions[SessionID],SessionMovements[[#This Row],[SessionID]])=0,"❌ Missing","✔ OK")</f>
        <v>✔ OK</v>
      </c>
    </row>
    <row r="588" spans="1:12" x14ac:dyDescent="0.3">
      <c r="A588" t="s">
        <v>1148</v>
      </c>
      <c r="B588" t="s">
        <v>553</v>
      </c>
      <c r="C588" t="str">
        <f>IF(SessionMovements[[#This Row],[MovementID]]="","",
   _xlfn.XLOOKUP(SessionMovements[[#This Row],[MovementID]],MovementLibrary[MovementID],MovementLibrary[Name],"")
)</f>
        <v>Deficit Deadlift</v>
      </c>
      <c r="D588" s="5" t="str">
        <f>IF(SessionMovements[[#This Row],[MovementID]]="","",
   _xlfn.XLOOKUP(SessionMovements[[#This Row],[MovementID]], MovementLibrary[MovementID], MovementLibrary[Modality], "")
)</f>
        <v>Barbell</v>
      </c>
      <c r="E588" s="5" t="str">
        <f>IF(SessionMovements[[#This Row],[MovementID]]="","",
   _xlfn.XLOOKUP(SessionMovements[[#This Row],[MovementID]], MovementLibrary[MovementID], MovementLibrary[Unit], "")
)</f>
        <v>kg</v>
      </c>
      <c r="F5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8">
        <v>4</v>
      </c>
      <c r="H588">
        <v>5</v>
      </c>
      <c r="K588" t="s">
        <v>1136</v>
      </c>
      <c r="L588" s="5" t="str">
        <f>IF(COUNTIF(Sessions[SessionID],SessionMovements[[#This Row],[SessionID]])=0,"❌ Missing","✔ OK")</f>
        <v>✔ OK</v>
      </c>
    </row>
    <row r="589" spans="1:12" x14ac:dyDescent="0.3">
      <c r="A589" t="s">
        <v>1148</v>
      </c>
      <c r="B589" t="s">
        <v>314</v>
      </c>
      <c r="C589" t="str">
        <f>IF(SessionMovements[[#This Row],[MovementID]]="","",
   _xlfn.XLOOKUP(SessionMovements[[#This Row],[MovementID]],MovementLibrary[MovementID],MovementLibrary[Name],"")
)</f>
        <v>Floor Press</v>
      </c>
      <c r="D589" s="5" t="str">
        <f>IF(SessionMovements[[#This Row],[MovementID]]="","",
   _xlfn.XLOOKUP(SessionMovements[[#This Row],[MovementID]], MovementLibrary[MovementID], MovementLibrary[Modality], "")
)</f>
        <v>Barbell</v>
      </c>
      <c r="E589" s="5" t="str">
        <f>IF(SessionMovements[[#This Row],[MovementID]]="","",
   _xlfn.XLOOKUP(SessionMovements[[#This Row],[MovementID]], MovementLibrary[MovementID], MovementLibrary[Unit], "")
)</f>
        <v>kg</v>
      </c>
      <c r="F5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89">
        <v>5</v>
      </c>
      <c r="H589">
        <v>10</v>
      </c>
      <c r="K589" t="s">
        <v>1137</v>
      </c>
      <c r="L589" s="5" t="str">
        <f>IF(COUNTIF(Sessions[SessionID],SessionMovements[[#This Row],[SessionID]])=0,"❌ Missing","✔ OK")</f>
        <v>✔ OK</v>
      </c>
    </row>
    <row r="590" spans="1:12" x14ac:dyDescent="0.3">
      <c r="A590" t="s">
        <v>1148</v>
      </c>
      <c r="B590" t="s">
        <v>711</v>
      </c>
      <c r="C590" t="str">
        <f>IF(SessionMovements[[#This Row],[MovementID]]="","",
   _xlfn.XLOOKUP(SessionMovements[[#This Row],[MovementID]],MovementLibrary[MovementID],MovementLibrary[Name],"")
)</f>
        <v>Ring Row</v>
      </c>
      <c r="D590" s="5" t="str">
        <f>IF(SessionMovements[[#This Row],[MovementID]]="","",
   _xlfn.XLOOKUP(SessionMovements[[#This Row],[MovementID]], MovementLibrary[MovementID], MovementLibrary[Modality], "")
)</f>
        <v>Gymnastics</v>
      </c>
      <c r="E590" s="5" t="str">
        <f>IF(SessionMovements[[#This Row],[MovementID]]="","",
   _xlfn.XLOOKUP(SessionMovements[[#This Row],[MovementID]], MovementLibrary[MovementID], MovementLibrary[Unit], "")
)</f>
        <v>reps</v>
      </c>
      <c r="F5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0">
        <v>5</v>
      </c>
      <c r="H590">
        <v>10</v>
      </c>
      <c r="K590" t="s">
        <v>1138</v>
      </c>
      <c r="L590" s="5" t="str">
        <f>IF(COUNTIF(Sessions[SessionID],SessionMovements[[#This Row],[SessionID]])=0,"❌ Missing","✔ OK")</f>
        <v>✔ OK</v>
      </c>
    </row>
    <row r="591" spans="1:12" x14ac:dyDescent="0.3">
      <c r="A591" t="s">
        <v>1148</v>
      </c>
      <c r="B591" t="s">
        <v>530</v>
      </c>
      <c r="C591" t="str">
        <f>IF(SessionMovements[[#This Row],[MovementID]]="","",
   _xlfn.XLOOKUP(SessionMovements[[#This Row],[MovementID]],MovementLibrary[MovementID],MovementLibrary[Name],"")
)</f>
        <v>Hollow Hold</v>
      </c>
      <c r="D591" s="5" t="str">
        <f>IF(SessionMovements[[#This Row],[MovementID]]="","",
   _xlfn.XLOOKUP(SessionMovements[[#This Row],[MovementID]], MovementLibrary[MovementID], MovementLibrary[Modality], "")
)</f>
        <v>Gymnastics</v>
      </c>
      <c r="E591" s="5" t="str">
        <f>IF(SessionMovements[[#This Row],[MovementID]]="","",
   _xlfn.XLOOKUP(SessionMovements[[#This Row],[MovementID]], MovementLibrary[MovementID], MovementLibrary[Unit], "")
)</f>
        <v>sec</v>
      </c>
      <c r="F5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1">
        <v>3</v>
      </c>
      <c r="H591">
        <v>30</v>
      </c>
      <c r="L591" s="5" t="str">
        <f>IF(COUNTIF(Sessions[SessionID],SessionMovements[[#This Row],[SessionID]])=0,"❌ Missing","✔ OK")</f>
        <v>✔ OK</v>
      </c>
    </row>
    <row r="592" spans="1:12" x14ac:dyDescent="0.3">
      <c r="A592" t="s">
        <v>1149</v>
      </c>
      <c r="B592" t="s">
        <v>298</v>
      </c>
      <c r="C592" t="str">
        <f>IF(SessionMovements[[#This Row],[MovementID]]="","",
   _xlfn.XLOOKUP(SessionMovements[[#This Row],[MovementID]],MovementLibrary[MovementID],MovementLibrary[Name],"")
)</f>
        <v>Back Squat</v>
      </c>
      <c r="D592" s="5" t="str">
        <f>IF(SessionMovements[[#This Row],[MovementID]]="","",
   _xlfn.XLOOKUP(SessionMovements[[#This Row],[MovementID]], MovementLibrary[MovementID], MovementLibrary[Modality], "")
)</f>
        <v>Barbell</v>
      </c>
      <c r="E592" s="5" t="str">
        <f>IF(SessionMovements[[#This Row],[MovementID]]="","",
   _xlfn.XLOOKUP(SessionMovements[[#This Row],[MovementID]], MovementLibrary[MovementID], MovementLibrary[Unit], "")
)</f>
        <v>kg</v>
      </c>
      <c r="F5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2">
        <v>4</v>
      </c>
      <c r="H592">
        <v>5</v>
      </c>
      <c r="J592">
        <v>80</v>
      </c>
      <c r="K592" t="s">
        <v>1111</v>
      </c>
      <c r="L592" s="5" t="str">
        <f>IF(COUNTIF(Sessions[SessionID],SessionMovements[[#This Row],[SessionID]])=0,"❌ Missing","✔ OK")</f>
        <v>✔ OK</v>
      </c>
    </row>
    <row r="593" spans="1:12" x14ac:dyDescent="0.3">
      <c r="A593" t="s">
        <v>1149</v>
      </c>
      <c r="B593" t="s">
        <v>298</v>
      </c>
      <c r="C593" t="str">
        <f>IF(SessionMovements[[#This Row],[MovementID]]="","",
   _xlfn.XLOOKUP(SessionMovements[[#This Row],[MovementID]],MovementLibrary[MovementID],MovementLibrary[Name],"")
)</f>
        <v>Back Squat</v>
      </c>
      <c r="D593" s="5" t="str">
        <f>IF(SessionMovements[[#This Row],[MovementID]]="","",
   _xlfn.XLOOKUP(SessionMovements[[#This Row],[MovementID]], MovementLibrary[MovementID], MovementLibrary[Modality], "")
)</f>
        <v>Barbell</v>
      </c>
      <c r="E593" s="5" t="str">
        <f>IF(SessionMovements[[#This Row],[MovementID]]="","",
   _xlfn.XLOOKUP(SessionMovements[[#This Row],[MovementID]], MovementLibrary[MovementID], MovementLibrary[Unit], "")
)</f>
        <v>kg</v>
      </c>
      <c r="F5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3">
        <v>3</v>
      </c>
      <c r="H593">
        <v>10</v>
      </c>
      <c r="J593">
        <v>69</v>
      </c>
      <c r="K593" t="s">
        <v>1112</v>
      </c>
      <c r="L593" s="5" t="str">
        <f>IF(COUNTIF(Sessions[SessionID],SessionMovements[[#This Row],[SessionID]])=0,"❌ Missing","✔ OK")</f>
        <v>✔ OK</v>
      </c>
    </row>
    <row r="594" spans="1:12" x14ac:dyDescent="0.3">
      <c r="A594" t="s">
        <v>1149</v>
      </c>
      <c r="B594" t="s">
        <v>309</v>
      </c>
      <c r="C594" t="str">
        <f>IF(SessionMovements[[#This Row],[MovementID]]="","",
   _xlfn.XLOOKUP(SessionMovements[[#This Row],[MovementID]],MovementLibrary[MovementID],MovementLibrary[Name],"")
)</f>
        <v>Romanian Deadlift</v>
      </c>
      <c r="D594" s="5" t="str">
        <f>IF(SessionMovements[[#This Row],[MovementID]]="","",
   _xlfn.XLOOKUP(SessionMovements[[#This Row],[MovementID]], MovementLibrary[MovementID], MovementLibrary[Modality], "")
)</f>
        <v>Barbell</v>
      </c>
      <c r="E594" s="5" t="str">
        <f>IF(SessionMovements[[#This Row],[MovementID]]="","",
   _xlfn.XLOOKUP(SessionMovements[[#This Row],[MovementID]], MovementLibrary[MovementID], MovementLibrary[Unit], "")
)</f>
        <v>kg</v>
      </c>
      <c r="F5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4">
        <v>4</v>
      </c>
      <c r="H594">
        <v>8</v>
      </c>
      <c r="K594" t="s">
        <v>1113</v>
      </c>
      <c r="L594" s="5" t="str">
        <f>IF(COUNTIF(Sessions[SessionID],SessionMovements[[#This Row],[SessionID]])=0,"❌ Missing","✔ OK")</f>
        <v>✔ OK</v>
      </c>
    </row>
    <row r="595" spans="1:12" x14ac:dyDescent="0.3">
      <c r="A595" t="s">
        <v>1149</v>
      </c>
      <c r="B595" t="s">
        <v>325</v>
      </c>
      <c r="C595" t="str">
        <f>IF(SessionMovements[[#This Row],[MovementID]]="","",
   _xlfn.XLOOKUP(SessionMovements[[#This Row],[MovementID]],MovementLibrary[MovementID],MovementLibrary[Name],"")
)</f>
        <v>Split Squat</v>
      </c>
      <c r="D595" s="5" t="str">
        <f>IF(SessionMovements[[#This Row],[MovementID]]="","",
   _xlfn.XLOOKUP(SessionMovements[[#This Row],[MovementID]], MovementLibrary[MovementID], MovementLibrary[Modality], "")
)</f>
        <v>Barbell</v>
      </c>
      <c r="E595" s="5" t="str">
        <f>IF(SessionMovements[[#This Row],[MovementID]]="","",
   _xlfn.XLOOKUP(SessionMovements[[#This Row],[MovementID]], MovementLibrary[MovementID], MovementLibrary[Unit], "")
)</f>
        <v>kg</v>
      </c>
      <c r="F5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5">
        <v>4</v>
      </c>
      <c r="H595">
        <v>10</v>
      </c>
      <c r="K595" t="s">
        <v>1114</v>
      </c>
      <c r="L595" s="5" t="str">
        <f>IF(COUNTIF(Sessions[SessionID],SessionMovements[[#This Row],[SessionID]])=0,"❌ Missing","✔ OK")</f>
        <v>✔ OK</v>
      </c>
    </row>
    <row r="596" spans="1:12" x14ac:dyDescent="0.3">
      <c r="A596" t="s">
        <v>1149</v>
      </c>
      <c r="B596" t="s">
        <v>717</v>
      </c>
      <c r="C596" t="str">
        <f>IF(SessionMovements[[#This Row],[MovementID]]="","",
   _xlfn.XLOOKUP(SessionMovements[[#This Row],[MovementID]],MovementLibrary[MovementID],MovementLibrary[Name],"")
)</f>
        <v>Broad Jump</v>
      </c>
      <c r="D596" s="5" t="str">
        <f>IF(SessionMovements[[#This Row],[MovementID]]="","",
   _xlfn.XLOOKUP(SessionMovements[[#This Row],[MovementID]], MovementLibrary[MovementID], MovementLibrary[Modality], "")
)</f>
        <v>Plyometric</v>
      </c>
      <c r="E596" s="5" t="str">
        <f>IF(SessionMovements[[#This Row],[MovementID]]="","",
   _xlfn.XLOOKUP(SessionMovements[[#This Row],[MovementID]], MovementLibrary[MovementID], MovementLibrary[Unit], "")
)</f>
        <v>reps</v>
      </c>
      <c r="F5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6">
        <v>5</v>
      </c>
      <c r="H596">
        <v>3</v>
      </c>
      <c r="K596" t="s">
        <v>1115</v>
      </c>
      <c r="L596" s="5" t="str">
        <f>IF(COUNTIF(Sessions[SessionID],SessionMovements[[#This Row],[SessionID]])=0,"❌ Missing","✔ OK")</f>
        <v>✔ OK</v>
      </c>
    </row>
    <row r="597" spans="1:12" x14ac:dyDescent="0.3">
      <c r="A597" t="s">
        <v>1149</v>
      </c>
      <c r="B597" t="s">
        <v>428</v>
      </c>
      <c r="C597" t="str">
        <f>IF(SessionMovements[[#This Row],[MovementID]]="","",
   _xlfn.XLOOKUP(SessionMovements[[#This Row],[MovementID]],MovementLibrary[MovementID],MovementLibrary[Name],"")
)</f>
        <v>AbMat Sit-Up</v>
      </c>
      <c r="D597" s="5" t="str">
        <f>IF(SessionMovements[[#This Row],[MovementID]]="","",
   _xlfn.XLOOKUP(SessionMovements[[#This Row],[MovementID]], MovementLibrary[MovementID], MovementLibrary[Modality], "")
)</f>
        <v>Gymnastics</v>
      </c>
      <c r="E597" s="5" t="str">
        <f>IF(SessionMovements[[#This Row],[MovementID]]="","",
   _xlfn.XLOOKUP(SessionMovements[[#This Row],[MovementID]], MovementLibrary[MovementID], MovementLibrary[Unit], "")
)</f>
        <v>reps</v>
      </c>
      <c r="F5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7">
        <v>3</v>
      </c>
      <c r="H597">
        <v>20</v>
      </c>
      <c r="L597" s="5" t="str">
        <f>IF(COUNTIF(Sessions[SessionID],SessionMovements[[#This Row],[SessionID]])=0,"❌ Missing","✔ OK")</f>
        <v>✔ OK</v>
      </c>
    </row>
    <row r="598" spans="1:12" x14ac:dyDescent="0.3">
      <c r="A598" t="s">
        <v>1150</v>
      </c>
      <c r="B598" t="s">
        <v>263</v>
      </c>
      <c r="C598" t="str">
        <f>IF(SessionMovements[[#This Row],[MovementID]]="","",
   _xlfn.XLOOKUP(SessionMovements[[#This Row],[MovementID]],MovementLibrary[MovementID],MovementLibrary[Name],"")
)</f>
        <v>Split Jerk</v>
      </c>
      <c r="D598" s="5" t="str">
        <f>IF(SessionMovements[[#This Row],[MovementID]]="","",
   _xlfn.XLOOKUP(SessionMovements[[#This Row],[MovementID]], MovementLibrary[MovementID], MovementLibrary[Modality], "")
)</f>
        <v>Barbell</v>
      </c>
      <c r="E598" s="5" t="str">
        <f>IF(SessionMovements[[#This Row],[MovementID]]="","",
   _xlfn.XLOOKUP(SessionMovements[[#This Row],[MovementID]], MovementLibrary[MovementID], MovementLibrary[Unit], "")
)</f>
        <v>kg</v>
      </c>
      <c r="F5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8">
        <v>5</v>
      </c>
      <c r="H598">
        <v>3</v>
      </c>
      <c r="J598">
        <v>82</v>
      </c>
      <c r="K598" t="s">
        <v>1117</v>
      </c>
      <c r="L598" s="5" t="str">
        <f>IF(COUNTIF(Sessions[SessionID],SessionMovements[[#This Row],[SessionID]])=0,"❌ Missing","✔ OK")</f>
        <v>✔ OK</v>
      </c>
    </row>
    <row r="599" spans="1:12" x14ac:dyDescent="0.3">
      <c r="A599" t="s">
        <v>1150</v>
      </c>
      <c r="B599" t="s">
        <v>292</v>
      </c>
      <c r="C599" t="str">
        <f>IF(SessionMovements[[#This Row],[MovementID]]="","",
   _xlfn.XLOOKUP(SessionMovements[[#This Row],[MovementID]],MovementLibrary[MovementID],MovementLibrary[Name],"")
)</f>
        <v>Push Press</v>
      </c>
      <c r="D599" s="5" t="str">
        <f>IF(SessionMovements[[#This Row],[MovementID]]="","",
   _xlfn.XLOOKUP(SessionMovements[[#This Row],[MovementID]], MovementLibrary[MovementID], MovementLibrary[Modality], "")
)</f>
        <v>Barbell</v>
      </c>
      <c r="E599" s="5" t="str">
        <f>IF(SessionMovements[[#This Row],[MovementID]]="","",
   _xlfn.XLOOKUP(SessionMovements[[#This Row],[MovementID]], MovementLibrary[MovementID], MovementLibrary[Unit], "")
)</f>
        <v>kg</v>
      </c>
      <c r="F5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599">
        <v>5</v>
      </c>
      <c r="H599">
        <v>6</v>
      </c>
      <c r="K599" t="s">
        <v>1118</v>
      </c>
      <c r="L599" s="5" t="str">
        <f>IF(COUNTIF(Sessions[SessionID],SessionMovements[[#This Row],[SessionID]])=0,"❌ Missing","✔ OK")</f>
        <v>✔ OK</v>
      </c>
    </row>
    <row r="600" spans="1:12" x14ac:dyDescent="0.3">
      <c r="A600" t="s">
        <v>1150</v>
      </c>
      <c r="B600" t="s">
        <v>256</v>
      </c>
      <c r="C600" t="str">
        <f>IF(SessionMovements[[#This Row],[MovementID]]="","",
   _xlfn.XLOOKUP(SessionMovements[[#This Row],[MovementID]],MovementLibrary[MovementID],MovementLibrary[Name],"")
)</f>
        <v>Bench Press</v>
      </c>
      <c r="D600" s="5" t="str">
        <f>IF(SessionMovements[[#This Row],[MovementID]]="","",
   _xlfn.XLOOKUP(SessionMovements[[#This Row],[MovementID]], MovementLibrary[MovementID], MovementLibrary[Modality], "")
)</f>
        <v>Barbell</v>
      </c>
      <c r="E600" s="5" t="str">
        <f>IF(SessionMovements[[#This Row],[MovementID]]="","",
   _xlfn.XLOOKUP(SessionMovements[[#This Row],[MovementID]], MovementLibrary[MovementID], MovementLibrary[Unit], "")
)</f>
        <v>kg</v>
      </c>
      <c r="F6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0">
        <v>4</v>
      </c>
      <c r="H600">
        <v>10</v>
      </c>
      <c r="K600" t="s">
        <v>1119</v>
      </c>
      <c r="L600" s="5" t="str">
        <f>IF(COUNTIF(Sessions[SessionID],SessionMovements[[#This Row],[SessionID]])=0,"❌ Missing","✔ OK")</f>
        <v>✔ OK</v>
      </c>
    </row>
    <row r="601" spans="1:12" x14ac:dyDescent="0.3">
      <c r="A601" t="s">
        <v>1150</v>
      </c>
      <c r="B601" t="s">
        <v>439</v>
      </c>
      <c r="C601" t="str">
        <f>IF(SessionMovements[[#This Row],[MovementID]]="","",
   _xlfn.XLOOKUP(SessionMovements[[#This Row],[MovementID]],MovementLibrary[MovementID],MovementLibrary[Name],"")
)</f>
        <v>Ring Push-Up</v>
      </c>
      <c r="D601" s="5" t="str">
        <f>IF(SessionMovements[[#This Row],[MovementID]]="","",
   _xlfn.XLOOKUP(SessionMovements[[#This Row],[MovementID]], MovementLibrary[MovementID], MovementLibrary[Modality], "")
)</f>
        <v>Gymnastics</v>
      </c>
      <c r="E601" s="5" t="str">
        <f>IF(SessionMovements[[#This Row],[MovementID]]="","",
   _xlfn.XLOOKUP(SessionMovements[[#This Row],[MovementID]], MovementLibrary[MovementID], MovementLibrary[Unit], "")
)</f>
        <v>reps</v>
      </c>
      <c r="F6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1">
        <v>4</v>
      </c>
      <c r="H601">
        <v>10</v>
      </c>
      <c r="K601" t="s">
        <v>1120</v>
      </c>
      <c r="L601" s="5" t="str">
        <f>IF(COUNTIF(Sessions[SessionID],SessionMovements[[#This Row],[SessionID]])=0,"❌ Missing","✔ OK")</f>
        <v>✔ OK</v>
      </c>
    </row>
    <row r="602" spans="1:12" x14ac:dyDescent="0.3">
      <c r="A602" t="s">
        <v>1150</v>
      </c>
      <c r="B602" t="s">
        <v>437</v>
      </c>
      <c r="C602" t="str">
        <f>IF(SessionMovements[[#This Row],[MovementID]]="","",
   _xlfn.XLOOKUP(SessionMovements[[#This Row],[MovementID]],MovementLibrary[MovementID],MovementLibrary[Name],"")
)</f>
        <v>Plank Hold</v>
      </c>
      <c r="D602" s="5" t="str">
        <f>IF(SessionMovements[[#This Row],[MovementID]]="","",
   _xlfn.XLOOKUP(SessionMovements[[#This Row],[MovementID]], MovementLibrary[MovementID], MovementLibrary[Modality], "")
)</f>
        <v>Gymnastics</v>
      </c>
      <c r="E602" s="5" t="str">
        <f>IF(SessionMovements[[#This Row],[MovementID]]="","",
   _xlfn.XLOOKUP(SessionMovements[[#This Row],[MovementID]], MovementLibrary[MovementID], MovementLibrary[Unit], "")
)</f>
        <v>sec</v>
      </c>
      <c r="F6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2">
        <v>3</v>
      </c>
      <c r="H602">
        <v>40</v>
      </c>
      <c r="K602" t="s">
        <v>1121</v>
      </c>
      <c r="L602" s="5" t="str">
        <f>IF(COUNTIF(Sessions[SessionID],SessionMovements[[#This Row],[SessionID]])=0,"❌ Missing","✔ OK")</f>
        <v>✔ OK</v>
      </c>
    </row>
    <row r="603" spans="1:12" x14ac:dyDescent="0.3">
      <c r="A603" t="s">
        <v>1151</v>
      </c>
      <c r="B603" t="s">
        <v>259</v>
      </c>
      <c r="C603" t="str">
        <f>IF(SessionMovements[[#This Row],[MovementID]]="","",
   _xlfn.XLOOKUP(SessionMovements[[#This Row],[MovementID]],MovementLibrary[MovementID],MovementLibrary[Name],"")
)</f>
        <v>Power Clean</v>
      </c>
      <c r="D603" s="5" t="str">
        <f>IF(SessionMovements[[#This Row],[MovementID]]="","",
   _xlfn.XLOOKUP(SessionMovements[[#This Row],[MovementID]], MovementLibrary[MovementID], MovementLibrary[Modality], "")
)</f>
        <v>Barbell</v>
      </c>
      <c r="E603" s="5" t="str">
        <f>IF(SessionMovements[[#This Row],[MovementID]]="","",
   _xlfn.XLOOKUP(SessionMovements[[#This Row],[MovementID]], MovementLibrary[MovementID], MovementLibrary[Unit], "")
)</f>
        <v>kg</v>
      </c>
      <c r="F6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3">
        <v>5</v>
      </c>
      <c r="H603">
        <v>3</v>
      </c>
      <c r="K603" t="s">
        <v>1123</v>
      </c>
      <c r="L603" s="5" t="str">
        <f>IF(COUNTIF(Sessions[SessionID],SessionMovements[[#This Row],[SessionID]])=0,"❌ Missing","✔ OK")</f>
        <v>✔ OK</v>
      </c>
    </row>
    <row r="604" spans="1:12" x14ac:dyDescent="0.3">
      <c r="A604" t="s">
        <v>1151</v>
      </c>
      <c r="B604" t="s">
        <v>553</v>
      </c>
      <c r="C604" t="str">
        <f>IF(SessionMovements[[#This Row],[MovementID]]="","",
   _xlfn.XLOOKUP(SessionMovements[[#This Row],[MovementID]],MovementLibrary[MovementID],MovementLibrary[Name],"")
)</f>
        <v>Deficit Deadlift</v>
      </c>
      <c r="D604" s="5" t="str">
        <f>IF(SessionMovements[[#This Row],[MovementID]]="","",
   _xlfn.XLOOKUP(SessionMovements[[#This Row],[MovementID]], MovementLibrary[MovementID], MovementLibrary[Modality], "")
)</f>
        <v>Barbell</v>
      </c>
      <c r="E604" s="5" t="str">
        <f>IF(SessionMovements[[#This Row],[MovementID]]="","",
   _xlfn.XLOOKUP(SessionMovements[[#This Row],[MovementID]], MovementLibrary[MovementID], MovementLibrary[Unit], "")
)</f>
        <v>kg</v>
      </c>
      <c r="F6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4">
        <v>4</v>
      </c>
      <c r="H604">
        <v>5</v>
      </c>
      <c r="K604" t="s">
        <v>1124</v>
      </c>
      <c r="L604" s="5" t="str">
        <f>IF(COUNTIF(Sessions[SessionID],SessionMovements[[#This Row],[SessionID]])=0,"❌ Missing","✔ OK")</f>
        <v>✔ OK</v>
      </c>
    </row>
    <row r="605" spans="1:12" x14ac:dyDescent="0.3">
      <c r="A605" t="s">
        <v>1151</v>
      </c>
      <c r="B605" t="s">
        <v>711</v>
      </c>
      <c r="C605" t="str">
        <f>IF(SessionMovements[[#This Row],[MovementID]]="","",
   _xlfn.XLOOKUP(SessionMovements[[#This Row],[MovementID]],MovementLibrary[MovementID],MovementLibrary[Name],"")
)</f>
        <v>Ring Row</v>
      </c>
      <c r="D605" s="5" t="str">
        <f>IF(SessionMovements[[#This Row],[MovementID]]="","",
   _xlfn.XLOOKUP(SessionMovements[[#This Row],[MovementID]], MovementLibrary[MovementID], MovementLibrary[Modality], "")
)</f>
        <v>Gymnastics</v>
      </c>
      <c r="E605" s="5" t="str">
        <f>IF(SessionMovements[[#This Row],[MovementID]]="","",
   _xlfn.XLOOKUP(SessionMovements[[#This Row],[MovementID]], MovementLibrary[MovementID], MovementLibrary[Unit], "")
)</f>
        <v>reps</v>
      </c>
      <c r="F6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5">
        <v>4</v>
      </c>
      <c r="H605">
        <v>10</v>
      </c>
      <c r="K605" t="s">
        <v>1125</v>
      </c>
      <c r="L605" s="5" t="str">
        <f>IF(COUNTIF(Sessions[SessionID],SessionMovements[[#This Row],[SessionID]])=0,"❌ Missing","✔ OK")</f>
        <v>✔ OK</v>
      </c>
    </row>
    <row r="606" spans="1:12" x14ac:dyDescent="0.3">
      <c r="A606" t="s">
        <v>1151</v>
      </c>
      <c r="B606" t="s">
        <v>388</v>
      </c>
      <c r="C606" t="str">
        <f>IF(SessionMovements[[#This Row],[MovementID]]="","",
   _xlfn.XLOOKUP(SessionMovements[[#This Row],[MovementID]],MovementLibrary[MovementID],MovementLibrary[Name],"")
)</f>
        <v>Pull-Up</v>
      </c>
      <c r="D606" s="5" t="str">
        <f>IF(SessionMovements[[#This Row],[MovementID]]="","",
   _xlfn.XLOOKUP(SessionMovements[[#This Row],[MovementID]], MovementLibrary[MovementID], MovementLibrary[Modality], "")
)</f>
        <v>Gymnastics</v>
      </c>
      <c r="E606" s="5" t="str">
        <f>IF(SessionMovements[[#This Row],[MovementID]]="","",
   _xlfn.XLOOKUP(SessionMovements[[#This Row],[MovementID]], MovementLibrary[MovementID], MovementLibrary[Unit], "")
)</f>
        <v>reps</v>
      </c>
      <c r="F6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6">
        <v>4</v>
      </c>
      <c r="H606">
        <v>8</v>
      </c>
      <c r="K606" t="s">
        <v>1126</v>
      </c>
      <c r="L606" s="5" t="str">
        <f>IF(COUNTIF(Sessions[SessionID],SessionMovements[[#This Row],[SessionID]])=0,"❌ Missing","✔ OK")</f>
        <v>✔ OK</v>
      </c>
    </row>
    <row r="607" spans="1:12" x14ac:dyDescent="0.3">
      <c r="A607" t="s">
        <v>1151</v>
      </c>
      <c r="B607" t="s">
        <v>530</v>
      </c>
      <c r="C607" t="str">
        <f>IF(SessionMovements[[#This Row],[MovementID]]="","",
   _xlfn.XLOOKUP(SessionMovements[[#This Row],[MovementID]],MovementLibrary[MovementID],MovementLibrary[Name],"")
)</f>
        <v>Hollow Hold</v>
      </c>
      <c r="D607" s="5" t="str">
        <f>IF(SessionMovements[[#This Row],[MovementID]]="","",
   _xlfn.XLOOKUP(SessionMovements[[#This Row],[MovementID]], MovementLibrary[MovementID], MovementLibrary[Modality], "")
)</f>
        <v>Gymnastics</v>
      </c>
      <c r="E607" s="5" t="str">
        <f>IF(SessionMovements[[#This Row],[MovementID]]="","",
   _xlfn.XLOOKUP(SessionMovements[[#This Row],[MovementID]], MovementLibrary[MovementID], MovementLibrary[Unit], "")
)</f>
        <v>sec</v>
      </c>
      <c r="F6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7">
        <v>3</v>
      </c>
      <c r="H607">
        <v>30</v>
      </c>
      <c r="L607" s="5" t="str">
        <f>IF(COUNTIF(Sessions[SessionID],SessionMovements[[#This Row],[SessionID]])=0,"❌ Missing","✔ OK")</f>
        <v>✔ OK</v>
      </c>
    </row>
    <row r="608" spans="1:12" x14ac:dyDescent="0.3">
      <c r="A608" t="s">
        <v>1152</v>
      </c>
      <c r="B608" t="s">
        <v>260</v>
      </c>
      <c r="C608" t="str">
        <f>IF(SessionMovements[[#This Row],[MovementID]]="","",
   _xlfn.XLOOKUP(SessionMovements[[#This Row],[MovementID]],MovementLibrary[MovementID],MovementLibrary[Name],"")
)</f>
        <v>Snatch</v>
      </c>
      <c r="D608" s="5" t="str">
        <f>IF(SessionMovements[[#This Row],[MovementID]]="","",
   _xlfn.XLOOKUP(SessionMovements[[#This Row],[MovementID]], MovementLibrary[MovementID], MovementLibrary[Modality], "")
)</f>
        <v>Barbell</v>
      </c>
      <c r="E608" s="5" t="str">
        <f>IF(SessionMovements[[#This Row],[MovementID]]="","",
   _xlfn.XLOOKUP(SessionMovements[[#This Row],[MovementID]], MovementLibrary[MovementID], MovementLibrary[Unit], "")
)</f>
        <v>kg</v>
      </c>
      <c r="F6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8">
        <v>1</v>
      </c>
      <c r="H608">
        <v>1</v>
      </c>
      <c r="J608">
        <v>100</v>
      </c>
      <c r="K608" t="s">
        <v>1128</v>
      </c>
      <c r="L608" s="5" t="str">
        <f>IF(COUNTIF(Sessions[SessionID],SessionMovements[[#This Row],[SessionID]])=0,"❌ Missing","✔ OK")</f>
        <v>✔ OK</v>
      </c>
    </row>
    <row r="609" spans="1:12" x14ac:dyDescent="0.3">
      <c r="A609" t="s">
        <v>1152</v>
      </c>
      <c r="B609" t="s">
        <v>260</v>
      </c>
      <c r="C609" t="str">
        <f>IF(SessionMovements[[#This Row],[MovementID]]="","",
   _xlfn.XLOOKUP(SessionMovements[[#This Row],[MovementID]],MovementLibrary[MovementID],MovementLibrary[Name],"")
)</f>
        <v>Snatch</v>
      </c>
      <c r="D609" s="5" t="str">
        <f>IF(SessionMovements[[#This Row],[MovementID]]="","",
   _xlfn.XLOOKUP(SessionMovements[[#This Row],[MovementID]], MovementLibrary[MovementID], MovementLibrary[Modality], "")
)</f>
        <v>Barbell</v>
      </c>
      <c r="E609" s="5" t="str">
        <f>IF(SessionMovements[[#This Row],[MovementID]]="","",
   _xlfn.XLOOKUP(SessionMovements[[#This Row],[MovementID]], MovementLibrary[MovementID], MovementLibrary[Unit], "")
)</f>
        <v>kg</v>
      </c>
      <c r="F6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09">
        <v>5</v>
      </c>
      <c r="H609">
        <v>1</v>
      </c>
      <c r="J609">
        <v>91</v>
      </c>
      <c r="K609" t="s">
        <v>1129</v>
      </c>
      <c r="L609" s="5" t="str">
        <f>IF(COUNTIF(Sessions[SessionID],SessionMovements[[#This Row],[SessionID]])=0,"❌ Missing","✔ OK")</f>
        <v>✔ OK</v>
      </c>
    </row>
    <row r="610" spans="1:12" x14ac:dyDescent="0.3">
      <c r="A610" t="s">
        <v>1152</v>
      </c>
      <c r="B610" t="s">
        <v>261</v>
      </c>
      <c r="C610" t="str">
        <f>IF(SessionMovements[[#This Row],[MovementID]]="","",
   _xlfn.XLOOKUP(SessionMovements[[#This Row],[MovementID]],MovementLibrary[MovementID],MovementLibrary[Name],"")
)</f>
        <v>Clean &amp; Jerk</v>
      </c>
      <c r="D610" s="5" t="str">
        <f>IF(SessionMovements[[#This Row],[MovementID]]="","",
   _xlfn.XLOOKUP(SessionMovements[[#This Row],[MovementID]], MovementLibrary[MovementID], MovementLibrary[Modality], "")
)</f>
        <v>Barbell</v>
      </c>
      <c r="E610" s="5" t="str">
        <f>IF(SessionMovements[[#This Row],[MovementID]]="","",
   _xlfn.XLOOKUP(SessionMovements[[#This Row],[MovementID]], MovementLibrary[MovementID], MovementLibrary[Unit], "")
)</f>
        <v>kg</v>
      </c>
      <c r="F6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0">
        <v>1</v>
      </c>
      <c r="H610">
        <v>1</v>
      </c>
      <c r="J610">
        <v>100</v>
      </c>
      <c r="K610" t="s">
        <v>1128</v>
      </c>
      <c r="L610" s="5" t="str">
        <f>IF(COUNTIF(Sessions[SessionID],SessionMovements[[#This Row],[SessionID]])=0,"❌ Missing","✔ OK")</f>
        <v>✔ OK</v>
      </c>
    </row>
    <row r="611" spans="1:12" x14ac:dyDescent="0.3">
      <c r="A611" t="s">
        <v>1152</v>
      </c>
      <c r="B611" t="s">
        <v>261</v>
      </c>
      <c r="C611" t="str">
        <f>IF(SessionMovements[[#This Row],[MovementID]]="","",
   _xlfn.XLOOKUP(SessionMovements[[#This Row],[MovementID]],MovementLibrary[MovementID],MovementLibrary[Name],"")
)</f>
        <v>Clean &amp; Jerk</v>
      </c>
      <c r="D611" s="5" t="str">
        <f>IF(SessionMovements[[#This Row],[MovementID]]="","",
   _xlfn.XLOOKUP(SessionMovements[[#This Row],[MovementID]], MovementLibrary[MovementID], MovementLibrary[Modality], "")
)</f>
        <v>Barbell</v>
      </c>
      <c r="E611" s="5" t="str">
        <f>IF(SessionMovements[[#This Row],[MovementID]]="","",
   _xlfn.XLOOKUP(SessionMovements[[#This Row],[MovementID]], MovementLibrary[MovementID], MovementLibrary[Unit], "")
)</f>
        <v>kg</v>
      </c>
      <c r="F6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1">
        <v>5</v>
      </c>
      <c r="H611">
        <v>1</v>
      </c>
      <c r="J611">
        <v>90</v>
      </c>
      <c r="K611" t="s">
        <v>1129</v>
      </c>
      <c r="L611" s="5" t="str">
        <f>IF(COUNTIF(Sessions[SessionID],SessionMovements[[#This Row],[SessionID]])=0,"❌ Missing","✔ OK")</f>
        <v>✔ OK</v>
      </c>
    </row>
    <row r="612" spans="1:12" x14ac:dyDescent="0.3">
      <c r="A612" t="s">
        <v>1152</v>
      </c>
      <c r="B612" t="s">
        <v>296</v>
      </c>
      <c r="C612" t="str">
        <f>IF(SessionMovements[[#This Row],[MovementID]]="","",
   _xlfn.XLOOKUP(SessionMovements[[#This Row],[MovementID]],MovementLibrary[MovementID],MovementLibrary[Name],"")
)</f>
        <v>Front Squat</v>
      </c>
      <c r="D612" s="5" t="str">
        <f>IF(SessionMovements[[#This Row],[MovementID]]="","",
   _xlfn.XLOOKUP(SessionMovements[[#This Row],[MovementID]], MovementLibrary[MovementID], MovementLibrary[Modality], "")
)</f>
        <v>Barbell</v>
      </c>
      <c r="E612" s="5" t="str">
        <f>IF(SessionMovements[[#This Row],[MovementID]]="","",
   _xlfn.XLOOKUP(SessionMovements[[#This Row],[MovementID]], MovementLibrary[MovementID], MovementLibrary[Unit], "")
)</f>
        <v>kg</v>
      </c>
      <c r="F6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2">
        <v>4</v>
      </c>
      <c r="H612">
        <v>3</v>
      </c>
      <c r="J612">
        <v>85</v>
      </c>
      <c r="K612" t="s">
        <v>1130</v>
      </c>
      <c r="L612" s="5" t="str">
        <f>IF(COUNTIF(Sessions[SessionID],SessionMovements[[#This Row],[SessionID]])=0,"❌ Missing","✔ OK")</f>
        <v>✔ OK</v>
      </c>
    </row>
    <row r="613" spans="1:12" x14ac:dyDescent="0.3">
      <c r="A613" t="s">
        <v>1152</v>
      </c>
      <c r="B613" t="s">
        <v>296</v>
      </c>
      <c r="C613" t="str">
        <f>IF(SessionMovements[[#This Row],[MovementID]]="","",
   _xlfn.XLOOKUP(SessionMovements[[#This Row],[MovementID]],MovementLibrary[MovementID],MovementLibrary[Name],"")
)</f>
        <v>Front Squat</v>
      </c>
      <c r="D613" s="5" t="str">
        <f>IF(SessionMovements[[#This Row],[MovementID]]="","",
   _xlfn.XLOOKUP(SessionMovements[[#This Row],[MovementID]], MovementLibrary[MovementID], MovementLibrary[Modality], "")
)</f>
        <v>Barbell</v>
      </c>
      <c r="E613" s="5" t="str">
        <f>IF(SessionMovements[[#This Row],[MovementID]]="","",
   _xlfn.XLOOKUP(SessionMovements[[#This Row],[MovementID]], MovementLibrary[MovementID], MovementLibrary[Unit], "")
)</f>
        <v>kg</v>
      </c>
      <c r="F6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3">
        <v>3</v>
      </c>
      <c r="H613">
        <v>8</v>
      </c>
      <c r="J613">
        <v>70</v>
      </c>
      <c r="K613" t="s">
        <v>1131</v>
      </c>
      <c r="L613" s="5" t="str">
        <f>IF(COUNTIF(Sessions[SessionID],SessionMovements[[#This Row],[SessionID]])=0,"❌ Missing","✔ OK")</f>
        <v>✔ OK</v>
      </c>
    </row>
    <row r="614" spans="1:12" x14ac:dyDescent="0.3">
      <c r="A614" t="s">
        <v>1152</v>
      </c>
      <c r="B614" t="s">
        <v>325</v>
      </c>
      <c r="C614" t="str">
        <f>IF(SessionMovements[[#This Row],[MovementID]]="","",
   _xlfn.XLOOKUP(SessionMovements[[#This Row],[MovementID]],MovementLibrary[MovementID],MovementLibrary[Name],"")
)</f>
        <v>Split Squat</v>
      </c>
      <c r="D614" s="5" t="str">
        <f>IF(SessionMovements[[#This Row],[MovementID]]="","",
   _xlfn.XLOOKUP(SessionMovements[[#This Row],[MovementID]], MovementLibrary[MovementID], MovementLibrary[Modality], "")
)</f>
        <v>Barbell</v>
      </c>
      <c r="E614" s="5" t="str">
        <f>IF(SessionMovements[[#This Row],[MovementID]]="","",
   _xlfn.XLOOKUP(SessionMovements[[#This Row],[MovementID]], MovementLibrary[MovementID], MovementLibrary[Unit], "")
)</f>
        <v>kg</v>
      </c>
      <c r="F6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4">
        <v>4</v>
      </c>
      <c r="H614">
        <v>10</v>
      </c>
      <c r="K614" t="s">
        <v>1132</v>
      </c>
      <c r="L614" s="5" t="str">
        <f>IF(COUNTIF(Sessions[SessionID],SessionMovements[[#This Row],[SessionID]])=0,"❌ Missing","✔ OK")</f>
        <v>✔ OK</v>
      </c>
    </row>
    <row r="615" spans="1:12" x14ac:dyDescent="0.3">
      <c r="A615" t="s">
        <v>1152</v>
      </c>
      <c r="B615" t="s">
        <v>717</v>
      </c>
      <c r="C615" t="str">
        <f>IF(SessionMovements[[#This Row],[MovementID]]="","",
   _xlfn.XLOOKUP(SessionMovements[[#This Row],[MovementID]],MovementLibrary[MovementID],MovementLibrary[Name],"")
)</f>
        <v>Broad Jump</v>
      </c>
      <c r="D615" s="5" t="str">
        <f>IF(SessionMovements[[#This Row],[MovementID]]="","",
   _xlfn.XLOOKUP(SessionMovements[[#This Row],[MovementID]], MovementLibrary[MovementID], MovementLibrary[Modality], "")
)</f>
        <v>Plyometric</v>
      </c>
      <c r="E615" s="5" t="str">
        <f>IF(SessionMovements[[#This Row],[MovementID]]="","",
   _xlfn.XLOOKUP(SessionMovements[[#This Row],[MovementID]], MovementLibrary[MovementID], MovementLibrary[Unit], "")
)</f>
        <v>reps</v>
      </c>
      <c r="F6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5">
        <v>4</v>
      </c>
      <c r="H615">
        <v>3</v>
      </c>
      <c r="K615" t="s">
        <v>1133</v>
      </c>
      <c r="L615" s="5" t="str">
        <f>IF(COUNTIF(Sessions[SessionID],SessionMovements[[#This Row],[SessionID]])=0,"❌ Missing","✔ OK")</f>
        <v>✔ OK</v>
      </c>
    </row>
    <row r="616" spans="1:12" x14ac:dyDescent="0.3">
      <c r="A616" t="s">
        <v>1152</v>
      </c>
      <c r="B616" t="s">
        <v>428</v>
      </c>
      <c r="C616" t="str">
        <f>IF(SessionMovements[[#This Row],[MovementID]]="","",
   _xlfn.XLOOKUP(SessionMovements[[#This Row],[MovementID]],MovementLibrary[MovementID],MovementLibrary[Name],"")
)</f>
        <v>AbMat Sit-Up</v>
      </c>
      <c r="D616" s="5" t="str">
        <f>IF(SessionMovements[[#This Row],[MovementID]]="","",
   _xlfn.XLOOKUP(SessionMovements[[#This Row],[MovementID]], MovementLibrary[MovementID], MovementLibrary[Modality], "")
)</f>
        <v>Gymnastics</v>
      </c>
      <c r="E616" s="5" t="str">
        <f>IF(SessionMovements[[#This Row],[MovementID]]="","",
   _xlfn.XLOOKUP(SessionMovements[[#This Row],[MovementID]], MovementLibrary[MovementID], MovementLibrary[Unit], "")
)</f>
        <v>reps</v>
      </c>
      <c r="F6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6">
        <v>3</v>
      </c>
      <c r="H616">
        <v>20</v>
      </c>
      <c r="L616" s="5" t="str">
        <f>IF(COUNTIF(Sessions[SessionID],SessionMovements[[#This Row],[SessionID]])=0,"❌ Missing","✔ OK")</f>
        <v>✔ OK</v>
      </c>
    </row>
    <row r="617" spans="1:12" x14ac:dyDescent="0.3">
      <c r="A617" t="s">
        <v>1153</v>
      </c>
      <c r="B617" t="s">
        <v>275</v>
      </c>
      <c r="C617" t="str">
        <f>IF(SessionMovements[[#This Row],[MovementID]]="","",
   _xlfn.XLOOKUP(SessionMovements[[#This Row],[MovementID]],MovementLibrary[MovementID],MovementLibrary[Name],"")
)</f>
        <v>Power Snatch</v>
      </c>
      <c r="D617" s="5" t="str">
        <f>IF(SessionMovements[[#This Row],[MovementID]]="","",
   _xlfn.XLOOKUP(SessionMovements[[#This Row],[MovementID]], MovementLibrary[MovementID], MovementLibrary[Modality], "")
)</f>
        <v>Barbell</v>
      </c>
      <c r="E617" s="5" t="str">
        <f>IF(SessionMovements[[#This Row],[MovementID]]="","",
   _xlfn.XLOOKUP(SessionMovements[[#This Row],[MovementID]], MovementLibrary[MovementID], MovementLibrary[Unit], "")
)</f>
        <v>kg</v>
      </c>
      <c r="F6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7">
        <v>5</v>
      </c>
      <c r="H617">
        <v>3</v>
      </c>
      <c r="K617" t="s">
        <v>1135</v>
      </c>
      <c r="L617" s="5" t="str">
        <f>IF(COUNTIF(Sessions[SessionID],SessionMovements[[#This Row],[SessionID]])=0,"❌ Missing","✔ OK")</f>
        <v>✔ OK</v>
      </c>
    </row>
    <row r="618" spans="1:12" x14ac:dyDescent="0.3">
      <c r="A618" t="s">
        <v>1153</v>
      </c>
      <c r="B618" t="s">
        <v>553</v>
      </c>
      <c r="C618" t="str">
        <f>IF(SessionMovements[[#This Row],[MovementID]]="","",
   _xlfn.XLOOKUP(SessionMovements[[#This Row],[MovementID]],MovementLibrary[MovementID],MovementLibrary[Name],"")
)</f>
        <v>Deficit Deadlift</v>
      </c>
      <c r="D618" s="5" t="str">
        <f>IF(SessionMovements[[#This Row],[MovementID]]="","",
   _xlfn.XLOOKUP(SessionMovements[[#This Row],[MovementID]], MovementLibrary[MovementID], MovementLibrary[Modality], "")
)</f>
        <v>Barbell</v>
      </c>
      <c r="E618" s="5" t="str">
        <f>IF(SessionMovements[[#This Row],[MovementID]]="","",
   _xlfn.XLOOKUP(SessionMovements[[#This Row],[MovementID]], MovementLibrary[MovementID], MovementLibrary[Unit], "")
)</f>
        <v>kg</v>
      </c>
      <c r="F6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8">
        <v>4</v>
      </c>
      <c r="H618">
        <v>5</v>
      </c>
      <c r="K618" t="s">
        <v>1136</v>
      </c>
      <c r="L618" s="5" t="str">
        <f>IF(COUNTIF(Sessions[SessionID],SessionMovements[[#This Row],[SessionID]])=0,"❌ Missing","✔ OK")</f>
        <v>✔ OK</v>
      </c>
    </row>
    <row r="619" spans="1:12" x14ac:dyDescent="0.3">
      <c r="A619" t="s">
        <v>1153</v>
      </c>
      <c r="B619" t="s">
        <v>314</v>
      </c>
      <c r="C619" t="str">
        <f>IF(SessionMovements[[#This Row],[MovementID]]="","",
   _xlfn.XLOOKUP(SessionMovements[[#This Row],[MovementID]],MovementLibrary[MovementID],MovementLibrary[Name],"")
)</f>
        <v>Floor Press</v>
      </c>
      <c r="D619" s="5" t="str">
        <f>IF(SessionMovements[[#This Row],[MovementID]]="","",
   _xlfn.XLOOKUP(SessionMovements[[#This Row],[MovementID]], MovementLibrary[MovementID], MovementLibrary[Modality], "")
)</f>
        <v>Barbell</v>
      </c>
      <c r="E619" s="5" t="str">
        <f>IF(SessionMovements[[#This Row],[MovementID]]="","",
   _xlfn.XLOOKUP(SessionMovements[[#This Row],[MovementID]], MovementLibrary[MovementID], MovementLibrary[Unit], "")
)</f>
        <v>kg</v>
      </c>
      <c r="F6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19">
        <v>5</v>
      </c>
      <c r="H619">
        <v>10</v>
      </c>
      <c r="K619" t="s">
        <v>1137</v>
      </c>
      <c r="L619" s="5" t="str">
        <f>IF(COUNTIF(Sessions[SessionID],SessionMovements[[#This Row],[SessionID]])=0,"❌ Missing","✔ OK")</f>
        <v>✔ OK</v>
      </c>
    </row>
    <row r="620" spans="1:12" x14ac:dyDescent="0.3">
      <c r="A620" t="s">
        <v>1153</v>
      </c>
      <c r="B620" t="s">
        <v>711</v>
      </c>
      <c r="C620" t="str">
        <f>IF(SessionMovements[[#This Row],[MovementID]]="","",
   _xlfn.XLOOKUP(SessionMovements[[#This Row],[MovementID]],MovementLibrary[MovementID],MovementLibrary[Name],"")
)</f>
        <v>Ring Row</v>
      </c>
      <c r="D620" s="5" t="str">
        <f>IF(SessionMovements[[#This Row],[MovementID]]="","",
   _xlfn.XLOOKUP(SessionMovements[[#This Row],[MovementID]], MovementLibrary[MovementID], MovementLibrary[Modality], "")
)</f>
        <v>Gymnastics</v>
      </c>
      <c r="E620" s="5" t="str">
        <f>IF(SessionMovements[[#This Row],[MovementID]]="","",
   _xlfn.XLOOKUP(SessionMovements[[#This Row],[MovementID]], MovementLibrary[MovementID], MovementLibrary[Unit], "")
)</f>
        <v>reps</v>
      </c>
      <c r="F6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0">
        <v>5</v>
      </c>
      <c r="H620">
        <v>10</v>
      </c>
      <c r="K620" t="s">
        <v>1138</v>
      </c>
      <c r="L620" s="5" t="str">
        <f>IF(COUNTIF(Sessions[SessionID],SessionMovements[[#This Row],[SessionID]])=0,"❌ Missing","✔ OK")</f>
        <v>✔ OK</v>
      </c>
    </row>
    <row r="621" spans="1:12" x14ac:dyDescent="0.3">
      <c r="A621" t="s">
        <v>1153</v>
      </c>
      <c r="B621" t="s">
        <v>530</v>
      </c>
      <c r="C621" t="str">
        <f>IF(SessionMovements[[#This Row],[MovementID]]="","",
   _xlfn.XLOOKUP(SessionMovements[[#This Row],[MovementID]],MovementLibrary[MovementID],MovementLibrary[Name],"")
)</f>
        <v>Hollow Hold</v>
      </c>
      <c r="D621" s="5" t="str">
        <f>IF(SessionMovements[[#This Row],[MovementID]]="","",
   _xlfn.XLOOKUP(SessionMovements[[#This Row],[MovementID]], MovementLibrary[MovementID], MovementLibrary[Modality], "")
)</f>
        <v>Gymnastics</v>
      </c>
      <c r="E621" s="5" t="str">
        <f>IF(SessionMovements[[#This Row],[MovementID]]="","",
   _xlfn.XLOOKUP(SessionMovements[[#This Row],[MovementID]], MovementLibrary[MovementID], MovementLibrary[Unit], "")
)</f>
        <v>sec</v>
      </c>
      <c r="F6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1">
        <v>3</v>
      </c>
      <c r="H621">
        <v>30</v>
      </c>
      <c r="L621" s="5" t="str">
        <f>IF(COUNTIF(Sessions[SessionID],SessionMovements[[#This Row],[SessionID]])=0,"❌ Missing","✔ OK")</f>
        <v>✔ OK</v>
      </c>
    </row>
    <row r="622" spans="1:12" x14ac:dyDescent="0.3">
      <c r="A622" t="s">
        <v>1154</v>
      </c>
      <c r="B622" t="s">
        <v>298</v>
      </c>
      <c r="C622" t="str">
        <f>IF(SessionMovements[[#This Row],[MovementID]]="","",
   _xlfn.XLOOKUP(SessionMovements[[#This Row],[MovementID]],MovementLibrary[MovementID],MovementLibrary[Name],"")
)</f>
        <v>Back Squat</v>
      </c>
      <c r="D622" s="5" t="str">
        <f>IF(SessionMovements[[#This Row],[MovementID]]="","",
   _xlfn.XLOOKUP(SessionMovements[[#This Row],[MovementID]], MovementLibrary[MovementID], MovementLibrary[Modality], "")
)</f>
        <v>Barbell</v>
      </c>
      <c r="E622" s="5" t="str">
        <f>IF(SessionMovements[[#This Row],[MovementID]]="","",
   _xlfn.XLOOKUP(SessionMovements[[#This Row],[MovementID]], MovementLibrary[MovementID], MovementLibrary[Unit], "")
)</f>
        <v>kg</v>
      </c>
      <c r="F6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2">
        <v>3</v>
      </c>
      <c r="H622">
        <v>3</v>
      </c>
      <c r="J622">
        <v>70</v>
      </c>
      <c r="K622" t="s">
        <v>1155</v>
      </c>
      <c r="L622" s="5" t="str">
        <f>IF(COUNTIF(Sessions[SessionID],SessionMovements[[#This Row],[SessionID]])=0,"❌ Missing","✔ OK")</f>
        <v>✔ OK</v>
      </c>
    </row>
    <row r="623" spans="1:12" x14ac:dyDescent="0.3">
      <c r="A623" t="s">
        <v>1154</v>
      </c>
      <c r="B623" t="s">
        <v>309</v>
      </c>
      <c r="C623" t="str">
        <f>IF(SessionMovements[[#This Row],[MovementID]]="","",
   _xlfn.XLOOKUP(SessionMovements[[#This Row],[MovementID]],MovementLibrary[MovementID],MovementLibrary[Name],"")
)</f>
        <v>Romanian Deadlift</v>
      </c>
      <c r="D623" s="5" t="str">
        <f>IF(SessionMovements[[#This Row],[MovementID]]="","",
   _xlfn.XLOOKUP(SessionMovements[[#This Row],[MovementID]], MovementLibrary[MovementID], MovementLibrary[Modality], "")
)</f>
        <v>Barbell</v>
      </c>
      <c r="E623" s="5" t="str">
        <f>IF(SessionMovements[[#This Row],[MovementID]]="","",
   _xlfn.XLOOKUP(SessionMovements[[#This Row],[MovementID]], MovementLibrary[MovementID], MovementLibrary[Unit], "")
)</f>
        <v>kg</v>
      </c>
      <c r="F6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3">
        <v>3</v>
      </c>
      <c r="H623">
        <v>5</v>
      </c>
      <c r="K623" t="s">
        <v>1156</v>
      </c>
      <c r="L623" s="5" t="str">
        <f>IF(COUNTIF(Sessions[SessionID],SessionMovements[[#This Row],[SessionID]])=0,"❌ Missing","✔ OK")</f>
        <v>✔ OK</v>
      </c>
    </row>
    <row r="624" spans="1:12" x14ac:dyDescent="0.3">
      <c r="A624" t="s">
        <v>1154</v>
      </c>
      <c r="B624" t="s">
        <v>325</v>
      </c>
      <c r="C624" t="str">
        <f>IF(SessionMovements[[#This Row],[MovementID]]="","",
   _xlfn.XLOOKUP(SessionMovements[[#This Row],[MovementID]],MovementLibrary[MovementID],MovementLibrary[Name],"")
)</f>
        <v>Split Squat</v>
      </c>
      <c r="D624" s="5" t="str">
        <f>IF(SessionMovements[[#This Row],[MovementID]]="","",
   _xlfn.XLOOKUP(SessionMovements[[#This Row],[MovementID]], MovementLibrary[MovementID], MovementLibrary[Modality], "")
)</f>
        <v>Barbell</v>
      </c>
      <c r="E624" s="5" t="str">
        <f>IF(SessionMovements[[#This Row],[MovementID]]="","",
   _xlfn.XLOOKUP(SessionMovements[[#This Row],[MovementID]], MovementLibrary[MovementID], MovementLibrary[Unit], "")
)</f>
        <v>kg</v>
      </c>
      <c r="F6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4">
        <v>2</v>
      </c>
      <c r="H624">
        <v>10</v>
      </c>
      <c r="K624" t="s">
        <v>1157</v>
      </c>
      <c r="L624" s="5" t="str">
        <f>IF(COUNTIF(Sessions[SessionID],SessionMovements[[#This Row],[SessionID]])=0,"❌ Missing","✔ OK")</f>
        <v>✔ OK</v>
      </c>
    </row>
    <row r="625" spans="1:12" x14ac:dyDescent="0.3">
      <c r="A625" t="s">
        <v>1154</v>
      </c>
      <c r="B625" t="s">
        <v>717</v>
      </c>
      <c r="C625" t="str">
        <f>IF(SessionMovements[[#This Row],[MovementID]]="","",
   _xlfn.XLOOKUP(SessionMovements[[#This Row],[MovementID]],MovementLibrary[MovementID],MovementLibrary[Name],"")
)</f>
        <v>Broad Jump</v>
      </c>
      <c r="D625" s="5" t="str">
        <f>IF(SessionMovements[[#This Row],[MovementID]]="","",
   _xlfn.XLOOKUP(SessionMovements[[#This Row],[MovementID]], MovementLibrary[MovementID], MovementLibrary[Modality], "")
)</f>
        <v>Plyometric</v>
      </c>
      <c r="E625" s="5" t="str">
        <f>IF(SessionMovements[[#This Row],[MovementID]]="","",
   _xlfn.XLOOKUP(SessionMovements[[#This Row],[MovementID]], MovementLibrary[MovementID], MovementLibrary[Unit], "")
)</f>
        <v>reps</v>
      </c>
      <c r="F6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5">
        <v>3</v>
      </c>
      <c r="H625">
        <v>3</v>
      </c>
      <c r="K625" t="s">
        <v>1158</v>
      </c>
      <c r="L625" s="5" t="str">
        <f>IF(COUNTIF(Sessions[SessionID],SessionMovements[[#This Row],[SessionID]])=0,"❌ Missing","✔ OK")</f>
        <v>✔ OK</v>
      </c>
    </row>
    <row r="626" spans="1:12" x14ac:dyDescent="0.3">
      <c r="A626" t="s">
        <v>1154</v>
      </c>
      <c r="B626" t="s">
        <v>428</v>
      </c>
      <c r="C626" t="str">
        <f>IF(SessionMovements[[#This Row],[MovementID]]="","",
   _xlfn.XLOOKUP(SessionMovements[[#This Row],[MovementID]],MovementLibrary[MovementID],MovementLibrary[Name],"")
)</f>
        <v>AbMat Sit-Up</v>
      </c>
      <c r="D626" s="5" t="str">
        <f>IF(SessionMovements[[#This Row],[MovementID]]="","",
   _xlfn.XLOOKUP(SessionMovements[[#This Row],[MovementID]], MovementLibrary[MovementID], MovementLibrary[Modality], "")
)</f>
        <v>Gymnastics</v>
      </c>
      <c r="E626" s="5" t="str">
        <f>IF(SessionMovements[[#This Row],[MovementID]]="","",
   _xlfn.XLOOKUP(SessionMovements[[#This Row],[MovementID]], MovementLibrary[MovementID], MovementLibrary[Unit], "")
)</f>
        <v>reps</v>
      </c>
      <c r="F6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6">
        <v>2</v>
      </c>
      <c r="H626">
        <v>20</v>
      </c>
      <c r="L626" s="5" t="str">
        <f>IF(COUNTIF(Sessions[SessionID],SessionMovements[[#This Row],[SessionID]])=0,"❌ Missing","✔ OK")</f>
        <v>✔ OK</v>
      </c>
    </row>
    <row r="627" spans="1:12" x14ac:dyDescent="0.3">
      <c r="A627" t="s">
        <v>1159</v>
      </c>
      <c r="B627" t="s">
        <v>263</v>
      </c>
      <c r="C627" t="str">
        <f>IF(SessionMovements[[#This Row],[MovementID]]="","",
   _xlfn.XLOOKUP(SessionMovements[[#This Row],[MovementID]],MovementLibrary[MovementID],MovementLibrary[Name],"")
)</f>
        <v>Split Jerk</v>
      </c>
      <c r="D627" s="5" t="str">
        <f>IF(SessionMovements[[#This Row],[MovementID]]="","",
   _xlfn.XLOOKUP(SessionMovements[[#This Row],[MovementID]], MovementLibrary[MovementID], MovementLibrary[Modality], "")
)</f>
        <v>Barbell</v>
      </c>
      <c r="E627" s="5" t="str">
        <f>IF(SessionMovements[[#This Row],[MovementID]]="","",
   _xlfn.XLOOKUP(SessionMovements[[#This Row],[MovementID]], MovementLibrary[MovementID], MovementLibrary[Unit], "")
)</f>
        <v>kg</v>
      </c>
      <c r="F6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7">
        <v>4</v>
      </c>
      <c r="H627">
        <v>2</v>
      </c>
      <c r="J627">
        <v>72</v>
      </c>
      <c r="K627" t="s">
        <v>1160</v>
      </c>
      <c r="L627" s="5" t="str">
        <f>IF(COUNTIF(Sessions[SessionID],SessionMovements[[#This Row],[SessionID]])=0,"❌ Missing","✔ OK")</f>
        <v>✔ OK</v>
      </c>
    </row>
    <row r="628" spans="1:12" x14ac:dyDescent="0.3">
      <c r="A628" t="s">
        <v>1159</v>
      </c>
      <c r="B628" t="s">
        <v>292</v>
      </c>
      <c r="C628" t="str">
        <f>IF(SessionMovements[[#This Row],[MovementID]]="","",
   _xlfn.XLOOKUP(SessionMovements[[#This Row],[MovementID]],MovementLibrary[MovementID],MovementLibrary[Name],"")
)</f>
        <v>Push Press</v>
      </c>
      <c r="D628" s="5" t="str">
        <f>IF(SessionMovements[[#This Row],[MovementID]]="","",
   _xlfn.XLOOKUP(SessionMovements[[#This Row],[MovementID]], MovementLibrary[MovementID], MovementLibrary[Modality], "")
)</f>
        <v>Barbell</v>
      </c>
      <c r="E628" s="5" t="str">
        <f>IF(SessionMovements[[#This Row],[MovementID]]="","",
   _xlfn.XLOOKUP(SessionMovements[[#This Row],[MovementID]], MovementLibrary[MovementID], MovementLibrary[Unit], "")
)</f>
        <v>kg</v>
      </c>
      <c r="F6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8">
        <v>4</v>
      </c>
      <c r="H628">
        <v>3</v>
      </c>
      <c r="K628" t="s">
        <v>1161</v>
      </c>
      <c r="L628" s="5" t="str">
        <f>IF(COUNTIF(Sessions[SessionID],SessionMovements[[#This Row],[SessionID]])=0,"❌ Missing","✔ OK")</f>
        <v>✔ OK</v>
      </c>
    </row>
    <row r="629" spans="1:12" x14ac:dyDescent="0.3">
      <c r="A629" t="s">
        <v>1159</v>
      </c>
      <c r="B629" t="s">
        <v>256</v>
      </c>
      <c r="C629" t="str">
        <f>IF(SessionMovements[[#This Row],[MovementID]]="","",
   _xlfn.XLOOKUP(SessionMovements[[#This Row],[MovementID]],MovementLibrary[MovementID],MovementLibrary[Name],"")
)</f>
        <v>Bench Press</v>
      </c>
      <c r="D629" s="5" t="str">
        <f>IF(SessionMovements[[#This Row],[MovementID]]="","",
   _xlfn.XLOOKUP(SessionMovements[[#This Row],[MovementID]], MovementLibrary[MovementID], MovementLibrary[Modality], "")
)</f>
        <v>Barbell</v>
      </c>
      <c r="E629" s="5" t="str">
        <f>IF(SessionMovements[[#This Row],[MovementID]]="","",
   _xlfn.XLOOKUP(SessionMovements[[#This Row],[MovementID]], MovementLibrary[MovementID], MovementLibrary[Unit], "")
)</f>
        <v>kg</v>
      </c>
      <c r="F6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29">
        <v>2</v>
      </c>
      <c r="H629">
        <v>10</v>
      </c>
      <c r="K629" t="s">
        <v>1162</v>
      </c>
      <c r="L629" s="5" t="str">
        <f>IF(COUNTIF(Sessions[SessionID],SessionMovements[[#This Row],[SessionID]])=0,"❌ Missing","✔ OK")</f>
        <v>✔ OK</v>
      </c>
    </row>
    <row r="630" spans="1:12" x14ac:dyDescent="0.3">
      <c r="A630" t="s">
        <v>1159</v>
      </c>
      <c r="B630" t="s">
        <v>439</v>
      </c>
      <c r="C630" t="str">
        <f>IF(SessionMovements[[#This Row],[MovementID]]="","",
   _xlfn.XLOOKUP(SessionMovements[[#This Row],[MovementID]],MovementLibrary[MovementID],MovementLibrary[Name],"")
)</f>
        <v>Ring Push-Up</v>
      </c>
      <c r="D630" s="5" t="str">
        <f>IF(SessionMovements[[#This Row],[MovementID]]="","",
   _xlfn.XLOOKUP(SessionMovements[[#This Row],[MovementID]], MovementLibrary[MovementID], MovementLibrary[Modality], "")
)</f>
        <v>Gymnastics</v>
      </c>
      <c r="E630" s="5" t="str">
        <f>IF(SessionMovements[[#This Row],[MovementID]]="","",
   _xlfn.XLOOKUP(SessionMovements[[#This Row],[MovementID]], MovementLibrary[MovementID], MovementLibrary[Unit], "")
)</f>
        <v>reps</v>
      </c>
      <c r="F6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0">
        <v>2</v>
      </c>
      <c r="H630">
        <v>10</v>
      </c>
      <c r="L630" s="5" t="str">
        <f>IF(COUNTIF(Sessions[SessionID],SessionMovements[[#This Row],[SessionID]])=0,"❌ Missing","✔ OK")</f>
        <v>✔ OK</v>
      </c>
    </row>
    <row r="631" spans="1:12" x14ac:dyDescent="0.3">
      <c r="A631" t="s">
        <v>1159</v>
      </c>
      <c r="B631" t="s">
        <v>437</v>
      </c>
      <c r="C631" t="str">
        <f>IF(SessionMovements[[#This Row],[MovementID]]="","",
   _xlfn.XLOOKUP(SessionMovements[[#This Row],[MovementID]],MovementLibrary[MovementID],MovementLibrary[Name],"")
)</f>
        <v>Plank Hold</v>
      </c>
      <c r="D631" s="5" t="str">
        <f>IF(SessionMovements[[#This Row],[MovementID]]="","",
   _xlfn.XLOOKUP(SessionMovements[[#This Row],[MovementID]], MovementLibrary[MovementID], MovementLibrary[Modality], "")
)</f>
        <v>Gymnastics</v>
      </c>
      <c r="E631" s="5" t="str">
        <f>IF(SessionMovements[[#This Row],[MovementID]]="","",
   _xlfn.XLOOKUP(SessionMovements[[#This Row],[MovementID]], MovementLibrary[MovementID], MovementLibrary[Unit], "")
)</f>
        <v>sec</v>
      </c>
      <c r="F6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1">
        <v>2</v>
      </c>
      <c r="H631">
        <v>40</v>
      </c>
      <c r="L631" s="5" t="str">
        <f>IF(COUNTIF(Sessions[SessionID],SessionMovements[[#This Row],[SessionID]])=0,"❌ Missing","✔ OK")</f>
        <v>✔ OK</v>
      </c>
    </row>
    <row r="632" spans="1:12" x14ac:dyDescent="0.3">
      <c r="A632" t="s">
        <v>1163</v>
      </c>
      <c r="B632" t="s">
        <v>259</v>
      </c>
      <c r="C632" t="str">
        <f>IF(SessionMovements[[#This Row],[MovementID]]="","",
   _xlfn.XLOOKUP(SessionMovements[[#This Row],[MovementID]],MovementLibrary[MovementID],MovementLibrary[Name],"")
)</f>
        <v>Power Clean</v>
      </c>
      <c r="D632" s="5" t="str">
        <f>IF(SessionMovements[[#This Row],[MovementID]]="","",
   _xlfn.XLOOKUP(SessionMovements[[#This Row],[MovementID]], MovementLibrary[MovementID], MovementLibrary[Modality], "")
)</f>
        <v>Barbell</v>
      </c>
      <c r="E632" s="5" t="str">
        <f>IF(SessionMovements[[#This Row],[MovementID]]="","",
   _xlfn.XLOOKUP(SessionMovements[[#This Row],[MovementID]], MovementLibrary[MovementID], MovementLibrary[Unit], "")
)</f>
        <v>kg</v>
      </c>
      <c r="F6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2">
        <v>4</v>
      </c>
      <c r="H632">
        <v>2</v>
      </c>
      <c r="K632" t="s">
        <v>1164</v>
      </c>
      <c r="L632" s="5" t="str">
        <f>IF(COUNTIF(Sessions[SessionID],SessionMovements[[#This Row],[SessionID]])=0,"❌ Missing","✔ OK")</f>
        <v>✔ OK</v>
      </c>
    </row>
    <row r="633" spans="1:12" x14ac:dyDescent="0.3">
      <c r="A633" t="s">
        <v>1163</v>
      </c>
      <c r="B633" t="s">
        <v>553</v>
      </c>
      <c r="C633" t="str">
        <f>IF(SessionMovements[[#This Row],[MovementID]]="","",
   _xlfn.XLOOKUP(SessionMovements[[#This Row],[MovementID]],MovementLibrary[MovementID],MovementLibrary[Name],"")
)</f>
        <v>Deficit Deadlift</v>
      </c>
      <c r="D633" s="5" t="str">
        <f>IF(SessionMovements[[#This Row],[MovementID]]="","",
   _xlfn.XLOOKUP(SessionMovements[[#This Row],[MovementID]], MovementLibrary[MovementID], MovementLibrary[Modality], "")
)</f>
        <v>Barbell</v>
      </c>
      <c r="E633" s="5" t="str">
        <f>IF(SessionMovements[[#This Row],[MovementID]]="","",
   _xlfn.XLOOKUP(SessionMovements[[#This Row],[MovementID]], MovementLibrary[MovementID], MovementLibrary[Unit], "")
)</f>
        <v>kg</v>
      </c>
      <c r="F6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3">
        <v>3</v>
      </c>
      <c r="H633">
        <v>3</v>
      </c>
      <c r="K633" t="s">
        <v>1165</v>
      </c>
      <c r="L633" s="5" t="str">
        <f>IF(COUNTIF(Sessions[SessionID],SessionMovements[[#This Row],[SessionID]])=0,"❌ Missing","✔ OK")</f>
        <v>✔ OK</v>
      </c>
    </row>
    <row r="634" spans="1:12" x14ac:dyDescent="0.3">
      <c r="A634" t="s">
        <v>1163</v>
      </c>
      <c r="B634" t="s">
        <v>711</v>
      </c>
      <c r="C634" t="str">
        <f>IF(SessionMovements[[#This Row],[MovementID]]="","",
   _xlfn.XLOOKUP(SessionMovements[[#This Row],[MovementID]],MovementLibrary[MovementID],MovementLibrary[Name],"")
)</f>
        <v>Ring Row</v>
      </c>
      <c r="D634" s="5" t="str">
        <f>IF(SessionMovements[[#This Row],[MovementID]]="","",
   _xlfn.XLOOKUP(SessionMovements[[#This Row],[MovementID]], MovementLibrary[MovementID], MovementLibrary[Modality], "")
)</f>
        <v>Gymnastics</v>
      </c>
      <c r="E634" s="5" t="str">
        <f>IF(SessionMovements[[#This Row],[MovementID]]="","",
   _xlfn.XLOOKUP(SessionMovements[[#This Row],[MovementID]], MovementLibrary[MovementID], MovementLibrary[Unit], "")
)</f>
        <v>reps</v>
      </c>
      <c r="F6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4">
        <v>2</v>
      </c>
      <c r="H634">
        <v>10</v>
      </c>
      <c r="K634" t="s">
        <v>1166</v>
      </c>
      <c r="L634" s="5" t="str">
        <f>IF(COUNTIF(Sessions[SessionID],SessionMovements[[#This Row],[SessionID]])=0,"❌ Missing","✔ OK")</f>
        <v>✔ OK</v>
      </c>
    </row>
    <row r="635" spans="1:12" x14ac:dyDescent="0.3">
      <c r="A635" t="s">
        <v>1163</v>
      </c>
      <c r="B635" t="s">
        <v>388</v>
      </c>
      <c r="C635" t="str">
        <f>IF(SessionMovements[[#This Row],[MovementID]]="","",
   _xlfn.XLOOKUP(SessionMovements[[#This Row],[MovementID]],MovementLibrary[MovementID],MovementLibrary[Name],"")
)</f>
        <v>Pull-Up</v>
      </c>
      <c r="D635" s="5" t="str">
        <f>IF(SessionMovements[[#This Row],[MovementID]]="","",
   _xlfn.XLOOKUP(SessionMovements[[#This Row],[MovementID]], MovementLibrary[MovementID], MovementLibrary[Modality], "")
)</f>
        <v>Gymnastics</v>
      </c>
      <c r="E635" s="5" t="str">
        <f>IF(SessionMovements[[#This Row],[MovementID]]="","",
   _xlfn.XLOOKUP(SessionMovements[[#This Row],[MovementID]], MovementLibrary[MovementID], MovementLibrary[Unit], "")
)</f>
        <v>reps</v>
      </c>
      <c r="F6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5">
        <v>2</v>
      </c>
      <c r="H635">
        <v>10</v>
      </c>
      <c r="L635" s="5" t="str">
        <f>IF(COUNTIF(Sessions[SessionID],SessionMovements[[#This Row],[SessionID]])=0,"❌ Missing","✔ OK")</f>
        <v>✔ OK</v>
      </c>
    </row>
    <row r="636" spans="1:12" x14ac:dyDescent="0.3">
      <c r="A636" t="s">
        <v>1163</v>
      </c>
      <c r="B636" t="s">
        <v>530</v>
      </c>
      <c r="C636" t="str">
        <f>IF(SessionMovements[[#This Row],[MovementID]]="","",
   _xlfn.XLOOKUP(SessionMovements[[#This Row],[MovementID]],MovementLibrary[MovementID],MovementLibrary[Name],"")
)</f>
        <v>Hollow Hold</v>
      </c>
      <c r="D636" s="5" t="str">
        <f>IF(SessionMovements[[#This Row],[MovementID]]="","",
   _xlfn.XLOOKUP(SessionMovements[[#This Row],[MovementID]], MovementLibrary[MovementID], MovementLibrary[Modality], "")
)</f>
        <v>Gymnastics</v>
      </c>
      <c r="E636" s="5" t="str">
        <f>IF(SessionMovements[[#This Row],[MovementID]]="","",
   _xlfn.XLOOKUP(SessionMovements[[#This Row],[MovementID]], MovementLibrary[MovementID], MovementLibrary[Unit], "")
)</f>
        <v>sec</v>
      </c>
      <c r="F6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6">
        <v>2</v>
      </c>
      <c r="H636">
        <v>30</v>
      </c>
      <c r="L636" s="5" t="str">
        <f>IF(COUNTIF(Sessions[SessionID],SessionMovements[[#This Row],[SessionID]])=0,"❌ Missing","✔ OK")</f>
        <v>✔ OK</v>
      </c>
    </row>
    <row r="637" spans="1:12" x14ac:dyDescent="0.3">
      <c r="A637" t="s">
        <v>1167</v>
      </c>
      <c r="B637" t="s">
        <v>260</v>
      </c>
      <c r="C637" t="str">
        <f>IF(SessionMovements[[#This Row],[MovementID]]="","",
   _xlfn.XLOOKUP(SessionMovements[[#This Row],[MovementID]],MovementLibrary[MovementID],MovementLibrary[Name],"")
)</f>
        <v>Snatch</v>
      </c>
      <c r="D637" s="5" t="str">
        <f>IF(SessionMovements[[#This Row],[MovementID]]="","",
   _xlfn.XLOOKUP(SessionMovements[[#This Row],[MovementID]], MovementLibrary[MovementID], MovementLibrary[Modality], "")
)</f>
        <v>Barbell</v>
      </c>
      <c r="E637" s="5" t="str">
        <f>IF(SessionMovements[[#This Row],[MovementID]]="","",
   _xlfn.XLOOKUP(SessionMovements[[#This Row],[MovementID]], MovementLibrary[MovementID], MovementLibrary[Unit], "")
)</f>
        <v>kg</v>
      </c>
      <c r="F6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7">
        <v>5</v>
      </c>
      <c r="H637">
        <v>1</v>
      </c>
      <c r="J637">
        <v>82</v>
      </c>
      <c r="K637" t="s">
        <v>1168</v>
      </c>
      <c r="L637" s="5" t="str">
        <f>IF(COUNTIF(Sessions[SessionID],SessionMovements[[#This Row],[SessionID]])=0,"❌ Missing","✔ OK")</f>
        <v>✔ OK</v>
      </c>
    </row>
    <row r="638" spans="1:12" x14ac:dyDescent="0.3">
      <c r="A638" t="s">
        <v>1167</v>
      </c>
      <c r="B638" t="s">
        <v>261</v>
      </c>
      <c r="C638" t="str">
        <f>IF(SessionMovements[[#This Row],[MovementID]]="","",
   _xlfn.XLOOKUP(SessionMovements[[#This Row],[MovementID]],MovementLibrary[MovementID],MovementLibrary[Name],"")
)</f>
        <v>Clean &amp; Jerk</v>
      </c>
      <c r="D638" s="5" t="str">
        <f>IF(SessionMovements[[#This Row],[MovementID]]="","",
   _xlfn.XLOOKUP(SessionMovements[[#This Row],[MovementID]], MovementLibrary[MovementID], MovementLibrary[Modality], "")
)</f>
        <v>Barbell</v>
      </c>
      <c r="E638" s="5" t="str">
        <f>IF(SessionMovements[[#This Row],[MovementID]]="","",
   _xlfn.XLOOKUP(SessionMovements[[#This Row],[MovementID]], MovementLibrary[MovementID], MovementLibrary[Unit], "")
)</f>
        <v>kg</v>
      </c>
      <c r="F6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8">
        <v>5</v>
      </c>
      <c r="H638">
        <v>1</v>
      </c>
      <c r="J638">
        <v>82</v>
      </c>
      <c r="K638" t="s">
        <v>1169</v>
      </c>
      <c r="L638" s="5" t="str">
        <f>IF(COUNTIF(Sessions[SessionID],SessionMovements[[#This Row],[SessionID]])=0,"❌ Missing","✔ OK")</f>
        <v>✔ OK</v>
      </c>
    </row>
    <row r="639" spans="1:12" x14ac:dyDescent="0.3">
      <c r="A639" t="s">
        <v>1167</v>
      </c>
      <c r="B639" t="s">
        <v>296</v>
      </c>
      <c r="C639" t="str">
        <f>IF(SessionMovements[[#This Row],[MovementID]]="","",
   _xlfn.XLOOKUP(SessionMovements[[#This Row],[MovementID]],MovementLibrary[MovementID],MovementLibrary[Name],"")
)</f>
        <v>Front Squat</v>
      </c>
      <c r="D639" s="5" t="str">
        <f>IF(SessionMovements[[#This Row],[MovementID]]="","",
   _xlfn.XLOOKUP(SessionMovements[[#This Row],[MovementID]], MovementLibrary[MovementID], MovementLibrary[Modality], "")
)</f>
        <v>Barbell</v>
      </c>
      <c r="E639" s="5" t="str">
        <f>IF(SessionMovements[[#This Row],[MovementID]]="","",
   _xlfn.XLOOKUP(SessionMovements[[#This Row],[MovementID]], MovementLibrary[MovementID], MovementLibrary[Unit], "")
)</f>
        <v>kg</v>
      </c>
      <c r="F6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39">
        <v>3</v>
      </c>
      <c r="H639">
        <v>2</v>
      </c>
      <c r="J639">
        <v>70</v>
      </c>
      <c r="K639" t="s">
        <v>1170</v>
      </c>
      <c r="L639" s="5" t="str">
        <f>IF(COUNTIF(Sessions[SessionID],SessionMovements[[#This Row],[SessionID]])=0,"❌ Missing","✔ OK")</f>
        <v>✔ OK</v>
      </c>
    </row>
    <row r="640" spans="1:12" x14ac:dyDescent="0.3">
      <c r="A640" t="s">
        <v>1167</v>
      </c>
      <c r="B640" t="s">
        <v>325</v>
      </c>
      <c r="C640" t="str">
        <f>IF(SessionMovements[[#This Row],[MovementID]]="","",
   _xlfn.XLOOKUP(SessionMovements[[#This Row],[MovementID]],MovementLibrary[MovementID],MovementLibrary[Name],"")
)</f>
        <v>Split Squat</v>
      </c>
      <c r="D640" s="5" t="str">
        <f>IF(SessionMovements[[#This Row],[MovementID]]="","",
   _xlfn.XLOOKUP(SessionMovements[[#This Row],[MovementID]], MovementLibrary[MovementID], MovementLibrary[Modality], "")
)</f>
        <v>Barbell</v>
      </c>
      <c r="E640" s="5" t="str">
        <f>IF(SessionMovements[[#This Row],[MovementID]]="","",
   _xlfn.XLOOKUP(SessionMovements[[#This Row],[MovementID]], MovementLibrary[MovementID], MovementLibrary[Unit], "")
)</f>
        <v>kg</v>
      </c>
      <c r="F6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0">
        <v>2</v>
      </c>
      <c r="H640">
        <v>10</v>
      </c>
      <c r="K640" t="s">
        <v>1171</v>
      </c>
      <c r="L640" s="5" t="str">
        <f>IF(COUNTIF(Sessions[SessionID],SessionMovements[[#This Row],[SessionID]])=0,"❌ Missing","✔ OK")</f>
        <v>✔ OK</v>
      </c>
    </row>
    <row r="641" spans="1:12" x14ac:dyDescent="0.3">
      <c r="A641" t="s">
        <v>1167</v>
      </c>
      <c r="B641" t="s">
        <v>717</v>
      </c>
      <c r="C641" t="str">
        <f>IF(SessionMovements[[#This Row],[MovementID]]="","",
   _xlfn.XLOOKUP(SessionMovements[[#This Row],[MovementID]],MovementLibrary[MovementID],MovementLibrary[Name],"")
)</f>
        <v>Broad Jump</v>
      </c>
      <c r="D641" s="5" t="str">
        <f>IF(SessionMovements[[#This Row],[MovementID]]="","",
   _xlfn.XLOOKUP(SessionMovements[[#This Row],[MovementID]], MovementLibrary[MovementID], MovementLibrary[Modality], "")
)</f>
        <v>Plyometric</v>
      </c>
      <c r="E641" s="5" t="str">
        <f>IF(SessionMovements[[#This Row],[MovementID]]="","",
   _xlfn.XLOOKUP(SessionMovements[[#This Row],[MovementID]], MovementLibrary[MovementID], MovementLibrary[Unit], "")
)</f>
        <v>reps</v>
      </c>
      <c r="F6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1">
        <v>3</v>
      </c>
      <c r="H641">
        <v>3</v>
      </c>
      <c r="K641" t="s">
        <v>1172</v>
      </c>
      <c r="L641" s="5" t="str">
        <f>IF(COUNTIF(Sessions[SessionID],SessionMovements[[#This Row],[SessionID]])=0,"❌ Missing","✔ OK")</f>
        <v>✔ OK</v>
      </c>
    </row>
    <row r="642" spans="1:12" x14ac:dyDescent="0.3">
      <c r="A642" t="s">
        <v>1167</v>
      </c>
      <c r="B642" t="s">
        <v>428</v>
      </c>
      <c r="C642" t="str">
        <f>IF(SessionMovements[[#This Row],[MovementID]]="","",
   _xlfn.XLOOKUP(SessionMovements[[#This Row],[MovementID]],MovementLibrary[MovementID],MovementLibrary[Name],"")
)</f>
        <v>AbMat Sit-Up</v>
      </c>
      <c r="D642" s="5" t="str">
        <f>IF(SessionMovements[[#This Row],[MovementID]]="","",
   _xlfn.XLOOKUP(SessionMovements[[#This Row],[MovementID]], MovementLibrary[MovementID], MovementLibrary[Modality], "")
)</f>
        <v>Gymnastics</v>
      </c>
      <c r="E642" s="5" t="str">
        <f>IF(SessionMovements[[#This Row],[MovementID]]="","",
   _xlfn.XLOOKUP(SessionMovements[[#This Row],[MovementID]], MovementLibrary[MovementID], MovementLibrary[Unit], "")
)</f>
        <v>reps</v>
      </c>
      <c r="F6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2">
        <v>2</v>
      </c>
      <c r="H642">
        <v>20</v>
      </c>
      <c r="L642" s="5" t="str">
        <f>IF(COUNTIF(Sessions[SessionID],SessionMovements[[#This Row],[SessionID]])=0,"❌ Missing","✔ OK")</f>
        <v>✔ OK</v>
      </c>
    </row>
    <row r="643" spans="1:12" x14ac:dyDescent="0.3">
      <c r="A643" t="s">
        <v>1173</v>
      </c>
      <c r="B643" t="s">
        <v>275</v>
      </c>
      <c r="C643" t="str">
        <f>IF(SessionMovements[[#This Row],[MovementID]]="","",
   _xlfn.XLOOKUP(SessionMovements[[#This Row],[MovementID]],MovementLibrary[MovementID],MovementLibrary[Name],"")
)</f>
        <v>Power Snatch</v>
      </c>
      <c r="D643" s="5" t="str">
        <f>IF(SessionMovements[[#This Row],[MovementID]]="","",
   _xlfn.XLOOKUP(SessionMovements[[#This Row],[MovementID]], MovementLibrary[MovementID], MovementLibrary[Modality], "")
)</f>
        <v>Barbell</v>
      </c>
      <c r="E643" s="5" t="str">
        <f>IF(SessionMovements[[#This Row],[MovementID]]="","",
   _xlfn.XLOOKUP(SessionMovements[[#This Row],[MovementID]], MovementLibrary[MovementID], MovementLibrary[Unit], "")
)</f>
        <v>kg</v>
      </c>
      <c r="F6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3">
        <v>4</v>
      </c>
      <c r="H643">
        <v>2</v>
      </c>
      <c r="K643" t="s">
        <v>1174</v>
      </c>
      <c r="L643" s="5" t="str">
        <f>IF(COUNTIF(Sessions[SessionID],SessionMovements[[#This Row],[SessionID]])=0,"❌ Missing","✔ OK")</f>
        <v>✔ OK</v>
      </c>
    </row>
    <row r="644" spans="1:12" x14ac:dyDescent="0.3">
      <c r="A644" t="s">
        <v>1173</v>
      </c>
      <c r="B644" t="s">
        <v>553</v>
      </c>
      <c r="C644" t="str">
        <f>IF(SessionMovements[[#This Row],[MovementID]]="","",
   _xlfn.XLOOKUP(SessionMovements[[#This Row],[MovementID]],MovementLibrary[MovementID],MovementLibrary[Name],"")
)</f>
        <v>Deficit Deadlift</v>
      </c>
      <c r="D644" s="5" t="str">
        <f>IF(SessionMovements[[#This Row],[MovementID]]="","",
   _xlfn.XLOOKUP(SessionMovements[[#This Row],[MovementID]], MovementLibrary[MovementID], MovementLibrary[Modality], "")
)</f>
        <v>Barbell</v>
      </c>
      <c r="E644" s="5" t="str">
        <f>IF(SessionMovements[[#This Row],[MovementID]]="","",
   _xlfn.XLOOKUP(SessionMovements[[#This Row],[MovementID]], MovementLibrary[MovementID], MovementLibrary[Unit], "")
)</f>
        <v>kg</v>
      </c>
      <c r="F6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4">
        <v>3</v>
      </c>
      <c r="H644">
        <v>3</v>
      </c>
      <c r="K644" t="s">
        <v>1175</v>
      </c>
      <c r="L644" s="5" t="str">
        <f>IF(COUNTIF(Sessions[SessionID],SessionMovements[[#This Row],[SessionID]])=0,"❌ Missing","✔ OK")</f>
        <v>✔ OK</v>
      </c>
    </row>
    <row r="645" spans="1:12" x14ac:dyDescent="0.3">
      <c r="A645" t="s">
        <v>1173</v>
      </c>
      <c r="B645" t="s">
        <v>314</v>
      </c>
      <c r="C645" t="str">
        <f>IF(SessionMovements[[#This Row],[MovementID]]="","",
   _xlfn.XLOOKUP(SessionMovements[[#This Row],[MovementID]],MovementLibrary[MovementID],MovementLibrary[Name],"")
)</f>
        <v>Floor Press</v>
      </c>
      <c r="D645" s="5" t="str">
        <f>IF(SessionMovements[[#This Row],[MovementID]]="","",
   _xlfn.XLOOKUP(SessionMovements[[#This Row],[MovementID]], MovementLibrary[MovementID], MovementLibrary[Modality], "")
)</f>
        <v>Barbell</v>
      </c>
      <c r="E645" s="5" t="str">
        <f>IF(SessionMovements[[#This Row],[MovementID]]="","",
   _xlfn.XLOOKUP(SessionMovements[[#This Row],[MovementID]], MovementLibrary[MovementID], MovementLibrary[Unit], "")
)</f>
        <v>kg</v>
      </c>
      <c r="F6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5">
        <v>3</v>
      </c>
      <c r="H645">
        <v>10</v>
      </c>
      <c r="K645" t="s">
        <v>1176</v>
      </c>
      <c r="L645" s="5" t="str">
        <f>IF(COUNTIF(Sessions[SessionID],SessionMovements[[#This Row],[SessionID]])=0,"❌ Missing","✔ OK")</f>
        <v>✔ OK</v>
      </c>
    </row>
    <row r="646" spans="1:12" x14ac:dyDescent="0.3">
      <c r="A646" t="s">
        <v>1173</v>
      </c>
      <c r="B646" t="s">
        <v>711</v>
      </c>
      <c r="C646" t="str">
        <f>IF(SessionMovements[[#This Row],[MovementID]]="","",
   _xlfn.XLOOKUP(SessionMovements[[#This Row],[MovementID]],MovementLibrary[MovementID],MovementLibrary[Name],"")
)</f>
        <v>Ring Row</v>
      </c>
      <c r="D646" s="5" t="str">
        <f>IF(SessionMovements[[#This Row],[MovementID]]="","",
   _xlfn.XLOOKUP(SessionMovements[[#This Row],[MovementID]], MovementLibrary[MovementID], MovementLibrary[Modality], "")
)</f>
        <v>Gymnastics</v>
      </c>
      <c r="E646" s="5" t="str">
        <f>IF(SessionMovements[[#This Row],[MovementID]]="","",
   _xlfn.XLOOKUP(SessionMovements[[#This Row],[MovementID]], MovementLibrary[MovementID], MovementLibrary[Unit], "")
)</f>
        <v>reps</v>
      </c>
      <c r="F6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6">
        <v>2</v>
      </c>
      <c r="H646">
        <v>10</v>
      </c>
      <c r="K646" t="s">
        <v>1177</v>
      </c>
      <c r="L646" s="5" t="str">
        <f>IF(COUNTIF(Sessions[SessionID],SessionMovements[[#This Row],[SessionID]])=0,"❌ Missing","✔ OK")</f>
        <v>✔ OK</v>
      </c>
    </row>
    <row r="647" spans="1:12" x14ac:dyDescent="0.3">
      <c r="A647" t="s">
        <v>1173</v>
      </c>
      <c r="B647" t="s">
        <v>530</v>
      </c>
      <c r="C647" t="str">
        <f>IF(SessionMovements[[#This Row],[MovementID]]="","",
   _xlfn.XLOOKUP(SessionMovements[[#This Row],[MovementID]],MovementLibrary[MovementID],MovementLibrary[Name],"")
)</f>
        <v>Hollow Hold</v>
      </c>
      <c r="D647" s="5" t="str">
        <f>IF(SessionMovements[[#This Row],[MovementID]]="","",
   _xlfn.XLOOKUP(SessionMovements[[#This Row],[MovementID]], MovementLibrary[MovementID], MovementLibrary[Modality], "")
)</f>
        <v>Gymnastics</v>
      </c>
      <c r="E647" s="5" t="str">
        <f>IF(SessionMovements[[#This Row],[MovementID]]="","",
   _xlfn.XLOOKUP(SessionMovements[[#This Row],[MovementID]], MovementLibrary[MovementID], MovementLibrary[Unit], "")
)</f>
        <v>sec</v>
      </c>
      <c r="F6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7">
        <v>2</v>
      </c>
      <c r="H647">
        <v>30</v>
      </c>
      <c r="J647">
        <v>61</v>
      </c>
      <c r="K647" t="s">
        <v>1178</v>
      </c>
      <c r="L647" s="5" t="str">
        <f>IF(COUNTIF(Sessions[SessionID],SessionMovements[[#This Row],[SessionID]])=0,"❌ Missing","✔ OK")</f>
        <v>✔ OK</v>
      </c>
    </row>
    <row r="648" spans="1:12" x14ac:dyDescent="0.3">
      <c r="A648" t="s">
        <v>1179</v>
      </c>
      <c r="B648" t="s">
        <v>258</v>
      </c>
      <c r="C648" t="str">
        <f>IF(SessionMovements[[#This Row],[MovementID]]="","",
   _xlfn.XLOOKUP(SessionMovements[[#This Row],[MovementID]],MovementLibrary[MovementID],MovementLibrary[Name],"")
)</f>
        <v>Overhead Squat</v>
      </c>
      <c r="D648" s="5" t="str">
        <f>IF(SessionMovements[[#This Row],[MovementID]]="","",
   _xlfn.XLOOKUP(SessionMovements[[#This Row],[MovementID]], MovementLibrary[MovementID], MovementLibrary[Modality], "")
)</f>
        <v>Barbell</v>
      </c>
      <c r="E648" s="5" t="str">
        <f>IF(SessionMovements[[#This Row],[MovementID]]="","",
   _xlfn.XLOOKUP(SessionMovements[[#This Row],[MovementID]], MovementLibrary[MovementID], MovementLibrary[Unit], "")
)</f>
        <v>kg</v>
      </c>
      <c r="F6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8">
        <v>4</v>
      </c>
      <c r="H648">
        <v>5</v>
      </c>
      <c r="K648" t="s">
        <v>1180</v>
      </c>
      <c r="L648" s="5" t="str">
        <f>IF(COUNTIF(Sessions[SessionID],SessionMovements[[#This Row],[SessionID]])=0,"❌ Missing","✔ OK")</f>
        <v>✔ OK</v>
      </c>
    </row>
    <row r="649" spans="1:12" x14ac:dyDescent="0.3">
      <c r="A649" t="s">
        <v>1179</v>
      </c>
      <c r="B649" t="s">
        <v>298</v>
      </c>
      <c r="C649" t="str">
        <f>IF(SessionMovements[[#This Row],[MovementID]]="","",
   _xlfn.XLOOKUP(SessionMovements[[#This Row],[MovementID]],MovementLibrary[MovementID],MovementLibrary[Name],"")
)</f>
        <v>Back Squat</v>
      </c>
      <c r="D649" s="5" t="str">
        <f>IF(SessionMovements[[#This Row],[MovementID]]="","",
   _xlfn.XLOOKUP(SessionMovements[[#This Row],[MovementID]], MovementLibrary[MovementID], MovementLibrary[Modality], "")
)</f>
        <v>Barbell</v>
      </c>
      <c r="E649" s="5" t="str">
        <f>IF(SessionMovements[[#This Row],[MovementID]]="","",
   _xlfn.XLOOKUP(SessionMovements[[#This Row],[MovementID]], MovementLibrary[MovementID], MovementLibrary[Unit], "")
)</f>
        <v>kg</v>
      </c>
      <c r="F6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49">
        <v>3</v>
      </c>
      <c r="H649">
        <v>10</v>
      </c>
      <c r="K649" t="s">
        <v>1181</v>
      </c>
      <c r="L649" s="5" t="str">
        <f>IF(COUNTIF(Sessions[SessionID],SessionMovements[[#This Row],[SessionID]])=0,"❌ Missing","✔ OK")</f>
        <v>✔ OK</v>
      </c>
    </row>
    <row r="650" spans="1:12" x14ac:dyDescent="0.3">
      <c r="A650" t="s">
        <v>1179</v>
      </c>
      <c r="B650" t="s">
        <v>309</v>
      </c>
      <c r="C650" t="str">
        <f>IF(SessionMovements[[#This Row],[MovementID]]="","",
   _xlfn.XLOOKUP(SessionMovements[[#This Row],[MovementID]],MovementLibrary[MovementID],MovementLibrary[Name],"")
)</f>
        <v>Romanian Deadlift</v>
      </c>
      <c r="D650" s="5" t="str">
        <f>IF(SessionMovements[[#This Row],[MovementID]]="","",
   _xlfn.XLOOKUP(SessionMovements[[#This Row],[MovementID]], MovementLibrary[MovementID], MovementLibrary[Modality], "")
)</f>
        <v>Barbell</v>
      </c>
      <c r="E650" s="5" t="str">
        <f>IF(SessionMovements[[#This Row],[MovementID]]="","",
   _xlfn.XLOOKUP(SessionMovements[[#This Row],[MovementID]], MovementLibrary[MovementID], MovementLibrary[Unit], "")
)</f>
        <v>kg</v>
      </c>
      <c r="F6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0">
        <v>4</v>
      </c>
      <c r="H650">
        <v>8</v>
      </c>
      <c r="K650" t="s">
        <v>1182</v>
      </c>
      <c r="L650" s="5" t="str">
        <f>IF(COUNTIF(Sessions[SessionID],SessionMovements[[#This Row],[SessionID]])=0,"❌ Missing","✔ OK")</f>
        <v>✔ OK</v>
      </c>
    </row>
    <row r="651" spans="1:12" x14ac:dyDescent="0.3">
      <c r="A651" t="s">
        <v>1179</v>
      </c>
      <c r="B651" t="s">
        <v>720</v>
      </c>
      <c r="C651" t="str">
        <f>IF(SessionMovements[[#This Row],[MovementID]]="","",
   _xlfn.XLOOKUP(SessionMovements[[#This Row],[MovementID]],MovementLibrary[MovementID],MovementLibrary[Name],"")
)</f>
        <v>Barbell Lunge</v>
      </c>
      <c r="D651" s="5" t="str">
        <f>IF(SessionMovements[[#This Row],[MovementID]]="","",
   _xlfn.XLOOKUP(SessionMovements[[#This Row],[MovementID]], MovementLibrary[MovementID], MovementLibrary[Modality], "")
)</f>
        <v>Barbell</v>
      </c>
      <c r="E651" s="5" t="str">
        <f>IF(SessionMovements[[#This Row],[MovementID]]="","",
   _xlfn.XLOOKUP(SessionMovements[[#This Row],[MovementID]], MovementLibrary[MovementID], MovementLibrary[Unit], "")
)</f>
        <v>kg</v>
      </c>
      <c r="F6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1">
        <v>4</v>
      </c>
      <c r="H651">
        <v>10</v>
      </c>
      <c r="L651" s="5" t="str">
        <f>IF(COUNTIF(Sessions[SessionID],SessionMovements[[#This Row],[SessionID]])=0,"❌ Missing","✔ OK")</f>
        <v>✔ OK</v>
      </c>
    </row>
    <row r="652" spans="1:12" x14ac:dyDescent="0.3">
      <c r="A652" t="s">
        <v>1179</v>
      </c>
      <c r="B652" t="s">
        <v>717</v>
      </c>
      <c r="C652" t="str">
        <f>IF(SessionMovements[[#This Row],[MovementID]]="","",
   _xlfn.XLOOKUP(SessionMovements[[#This Row],[MovementID]],MovementLibrary[MovementID],MovementLibrary[Name],"")
)</f>
        <v>Broad Jump</v>
      </c>
      <c r="D652" s="5" t="str">
        <f>IF(SessionMovements[[#This Row],[MovementID]]="","",
   _xlfn.XLOOKUP(SessionMovements[[#This Row],[MovementID]], MovementLibrary[MovementID], MovementLibrary[Modality], "")
)</f>
        <v>Plyometric</v>
      </c>
      <c r="E652" s="5" t="str">
        <f>IF(SessionMovements[[#This Row],[MovementID]]="","",
   _xlfn.XLOOKUP(SessionMovements[[#This Row],[MovementID]], MovementLibrary[MovementID], MovementLibrary[Unit], "")
)</f>
        <v>reps</v>
      </c>
      <c r="F6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2">
        <v>4</v>
      </c>
      <c r="H652">
        <v>3</v>
      </c>
      <c r="J652">
        <v>75</v>
      </c>
      <c r="K652" t="s">
        <v>1183</v>
      </c>
      <c r="L652" s="5" t="str">
        <f>IF(COUNTIF(Sessions[SessionID],SessionMovements[[#This Row],[SessionID]])=0,"❌ Missing","✔ OK")</f>
        <v>✔ OK</v>
      </c>
    </row>
    <row r="653" spans="1:12" x14ac:dyDescent="0.3">
      <c r="A653" t="s">
        <v>1179</v>
      </c>
      <c r="B653" t="s">
        <v>428</v>
      </c>
      <c r="C653" t="str">
        <f>IF(SessionMovements[[#This Row],[MovementID]]="","",
   _xlfn.XLOOKUP(SessionMovements[[#This Row],[MovementID]],MovementLibrary[MovementID],MovementLibrary[Name],"")
)</f>
        <v>AbMat Sit-Up</v>
      </c>
      <c r="D653" s="5" t="str">
        <f>IF(SessionMovements[[#This Row],[MovementID]]="","",
   _xlfn.XLOOKUP(SessionMovements[[#This Row],[MovementID]], MovementLibrary[MovementID], MovementLibrary[Modality], "")
)</f>
        <v>Gymnastics</v>
      </c>
      <c r="E653" s="5" t="str">
        <f>IF(SessionMovements[[#This Row],[MovementID]]="","",
   _xlfn.XLOOKUP(SessionMovements[[#This Row],[MovementID]], MovementLibrary[MovementID], MovementLibrary[Unit], "")
)</f>
        <v>reps</v>
      </c>
      <c r="F6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3">
        <v>3</v>
      </c>
      <c r="H653">
        <v>20</v>
      </c>
      <c r="K653" t="s">
        <v>1184</v>
      </c>
      <c r="L653" s="5" t="str">
        <f>IF(COUNTIF(Sessions[SessionID],SessionMovements[[#This Row],[SessionID]])=0,"❌ Missing","✔ OK")</f>
        <v>✔ OK</v>
      </c>
    </row>
    <row r="654" spans="1:12" x14ac:dyDescent="0.3">
      <c r="A654" t="s">
        <v>1185</v>
      </c>
      <c r="B654" t="s">
        <v>290</v>
      </c>
      <c r="C654" t="str">
        <f>IF(SessionMovements[[#This Row],[MovementID]]="","",
   _xlfn.XLOOKUP(SessionMovements[[#This Row],[MovementID]],MovementLibrary[MovementID],MovementLibrary[Name],"")
)</f>
        <v>Push Jerk</v>
      </c>
      <c r="D654" s="5" t="str">
        <f>IF(SessionMovements[[#This Row],[MovementID]]="","",
   _xlfn.XLOOKUP(SessionMovements[[#This Row],[MovementID]], MovementLibrary[MovementID], MovementLibrary[Modality], "")
)</f>
        <v>Barbell</v>
      </c>
      <c r="E654" s="5" t="str">
        <f>IF(SessionMovements[[#This Row],[MovementID]]="","",
   _xlfn.XLOOKUP(SessionMovements[[#This Row],[MovementID]], MovementLibrary[MovementID], MovementLibrary[Unit], "")
)</f>
        <v>kg</v>
      </c>
      <c r="F6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4">
        <v>6</v>
      </c>
      <c r="H654">
        <v>2</v>
      </c>
      <c r="K654" t="s">
        <v>1186</v>
      </c>
      <c r="L654" s="5" t="str">
        <f>IF(COUNTIF(Sessions[SessionID],SessionMovements[[#This Row],[SessionID]])=0,"❌ Missing","✔ OK")</f>
        <v>✔ OK</v>
      </c>
    </row>
    <row r="655" spans="1:12" x14ac:dyDescent="0.3">
      <c r="A655" t="s">
        <v>1185</v>
      </c>
      <c r="B655" t="s">
        <v>262</v>
      </c>
      <c r="C655" t="str">
        <f>IF(SessionMovements[[#This Row],[MovementID]]="","",
   _xlfn.XLOOKUP(SessionMovements[[#This Row],[MovementID]],MovementLibrary[MovementID],MovementLibrary[Name],"")
)</f>
        <v>Strict Press</v>
      </c>
      <c r="D655" s="5" t="str">
        <f>IF(SessionMovements[[#This Row],[MovementID]]="","",
   _xlfn.XLOOKUP(SessionMovements[[#This Row],[MovementID]], MovementLibrary[MovementID], MovementLibrary[Modality], "")
)</f>
        <v>Barbell</v>
      </c>
      <c r="E655" s="5" t="str">
        <f>IF(SessionMovements[[#This Row],[MovementID]]="","",
   _xlfn.XLOOKUP(SessionMovements[[#This Row],[MovementID]], MovementLibrary[MovementID], MovementLibrary[Unit], "")
)</f>
        <v>kg</v>
      </c>
      <c r="F6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5">
        <v>5</v>
      </c>
      <c r="H655">
        <v>5</v>
      </c>
      <c r="K655" t="s">
        <v>1187</v>
      </c>
      <c r="L655" s="5" t="str">
        <f>IF(COUNTIF(Sessions[SessionID],SessionMovements[[#This Row],[SessionID]])=0,"❌ Missing","✔ OK")</f>
        <v>✔ OK</v>
      </c>
    </row>
    <row r="656" spans="1:12" x14ac:dyDescent="0.3">
      <c r="A656" t="s">
        <v>1185</v>
      </c>
      <c r="B656" t="s">
        <v>441</v>
      </c>
      <c r="C656" t="str">
        <f>IF(SessionMovements[[#This Row],[MovementID]]="","",
   _xlfn.XLOOKUP(SessionMovements[[#This Row],[MovementID]],MovementLibrary[MovementID],MovementLibrary[Name],"")
)</f>
        <v>Ring Dip</v>
      </c>
      <c r="D656" s="5" t="str">
        <f>IF(SessionMovements[[#This Row],[MovementID]]="","",
   _xlfn.XLOOKUP(SessionMovements[[#This Row],[MovementID]], MovementLibrary[MovementID], MovementLibrary[Modality], "")
)</f>
        <v>Gymnastics</v>
      </c>
      <c r="E656" s="5" t="str">
        <f>IF(SessionMovements[[#This Row],[MovementID]]="","",
   _xlfn.XLOOKUP(SessionMovements[[#This Row],[MovementID]], MovementLibrary[MovementID], MovementLibrary[Unit], "")
)</f>
        <v>reps</v>
      </c>
      <c r="F6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6">
        <v>4</v>
      </c>
      <c r="H656">
        <v>8</v>
      </c>
      <c r="L656" s="5" t="str">
        <f>IF(COUNTIF(Sessions[SessionID],SessionMovements[[#This Row],[SessionID]])=0,"❌ Missing","✔ OK")</f>
        <v>✔ OK</v>
      </c>
    </row>
    <row r="657" spans="1:12" x14ac:dyDescent="0.3">
      <c r="A657" t="s">
        <v>1185</v>
      </c>
      <c r="B657" t="s">
        <v>256</v>
      </c>
      <c r="C657" t="str">
        <f>IF(SessionMovements[[#This Row],[MovementID]]="","",
   _xlfn.XLOOKUP(SessionMovements[[#This Row],[MovementID]],MovementLibrary[MovementID],MovementLibrary[Name],"")
)</f>
        <v>Bench Press</v>
      </c>
      <c r="D657" s="5" t="str">
        <f>IF(SessionMovements[[#This Row],[MovementID]]="","",
   _xlfn.XLOOKUP(SessionMovements[[#This Row],[MovementID]], MovementLibrary[MovementID], MovementLibrary[Modality], "")
)</f>
        <v>Barbell</v>
      </c>
      <c r="E657" s="5" t="str">
        <f>IF(SessionMovements[[#This Row],[MovementID]]="","",
   _xlfn.XLOOKUP(SessionMovements[[#This Row],[MovementID]], MovementLibrary[MovementID], MovementLibrary[Unit], "")
)</f>
        <v>kg</v>
      </c>
      <c r="F6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7">
        <v>4</v>
      </c>
      <c r="H657">
        <v>10</v>
      </c>
      <c r="K657" t="s">
        <v>1188</v>
      </c>
      <c r="L657" s="5" t="str">
        <f>IF(COUNTIF(Sessions[SessionID],SessionMovements[[#This Row],[SessionID]])=0,"❌ Missing","✔ OK")</f>
        <v>✔ OK</v>
      </c>
    </row>
    <row r="658" spans="1:12" x14ac:dyDescent="0.3">
      <c r="A658" t="s">
        <v>1185</v>
      </c>
      <c r="B658" t="s">
        <v>437</v>
      </c>
      <c r="C658" t="str">
        <f>IF(SessionMovements[[#This Row],[MovementID]]="","",
   _xlfn.XLOOKUP(SessionMovements[[#This Row],[MovementID]],MovementLibrary[MovementID],MovementLibrary[Name],"")
)</f>
        <v>Plank Hold</v>
      </c>
      <c r="D658" s="5" t="str">
        <f>IF(SessionMovements[[#This Row],[MovementID]]="","",
   _xlfn.XLOOKUP(SessionMovements[[#This Row],[MovementID]], MovementLibrary[MovementID], MovementLibrary[Modality], "")
)</f>
        <v>Gymnastics</v>
      </c>
      <c r="E658" s="5" t="str">
        <f>IF(SessionMovements[[#This Row],[MovementID]]="","",
   _xlfn.XLOOKUP(SessionMovements[[#This Row],[MovementID]], MovementLibrary[MovementID], MovementLibrary[Unit], "")
)</f>
        <v>sec</v>
      </c>
      <c r="F6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8">
        <v>3</v>
      </c>
      <c r="H658">
        <v>40</v>
      </c>
      <c r="K658" t="s">
        <v>1189</v>
      </c>
      <c r="L658" s="5" t="str">
        <f>IF(COUNTIF(Sessions[SessionID],SessionMovements[[#This Row],[SessionID]])=0,"❌ Missing","✔ OK")</f>
        <v>✔ OK</v>
      </c>
    </row>
    <row r="659" spans="1:12" x14ac:dyDescent="0.3">
      <c r="A659" t="s">
        <v>1190</v>
      </c>
      <c r="B659" t="s">
        <v>539</v>
      </c>
      <c r="C659" t="str">
        <f>IF(SessionMovements[[#This Row],[MovementID]]="","",
   _xlfn.XLOOKUP(SessionMovements[[#This Row],[MovementID]],MovementLibrary[MovementID],MovementLibrary[Name],"")
)</f>
        <v>Hang Power Clean</v>
      </c>
      <c r="D659" s="5" t="str">
        <f>IF(SessionMovements[[#This Row],[MovementID]]="","",
   _xlfn.XLOOKUP(SessionMovements[[#This Row],[MovementID]], MovementLibrary[MovementID], MovementLibrary[Modality], "")
)</f>
        <v>Barbell</v>
      </c>
      <c r="E659" s="5" t="str">
        <f>IF(SessionMovements[[#This Row],[MovementID]]="","",
   _xlfn.XLOOKUP(SessionMovements[[#This Row],[MovementID]], MovementLibrary[MovementID], MovementLibrary[Unit], "")
)</f>
        <v>kg</v>
      </c>
      <c r="F6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59">
        <v>6</v>
      </c>
      <c r="H659">
        <v>2</v>
      </c>
      <c r="K659" t="s">
        <v>1191</v>
      </c>
      <c r="L659" s="5" t="str">
        <f>IF(COUNTIF(Sessions[SessionID],SessionMovements[[#This Row],[SessionID]])=0,"❌ Missing","✔ OK")</f>
        <v>✔ OK</v>
      </c>
    </row>
    <row r="660" spans="1:12" x14ac:dyDescent="0.3">
      <c r="A660" t="s">
        <v>1190</v>
      </c>
      <c r="B660" t="s">
        <v>537</v>
      </c>
      <c r="C660" t="str">
        <f>IF(SessionMovements[[#This Row],[MovementID]]="","",
   _xlfn.XLOOKUP(SessionMovements[[#This Row],[MovementID]],MovementLibrary[MovementID],MovementLibrary[Name],"")
)</f>
        <v>Clean Pull</v>
      </c>
      <c r="D660" s="5" t="str">
        <f>IF(SessionMovements[[#This Row],[MovementID]]="","",
   _xlfn.XLOOKUP(SessionMovements[[#This Row],[MovementID]], MovementLibrary[MovementID], MovementLibrary[Modality], "")
)</f>
        <v>Barbell</v>
      </c>
      <c r="E660" s="5" t="str">
        <f>IF(SessionMovements[[#This Row],[MovementID]]="","",
   _xlfn.XLOOKUP(SessionMovements[[#This Row],[MovementID]], MovementLibrary[MovementID], MovementLibrary[Unit], "")
)</f>
        <v>kg</v>
      </c>
      <c r="F6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0">
        <v>5</v>
      </c>
      <c r="H660">
        <v>3</v>
      </c>
      <c r="K660" t="s">
        <v>1192</v>
      </c>
      <c r="L660" s="5" t="str">
        <f>IF(COUNTIF(Sessions[SessionID],SessionMovements[[#This Row],[SessionID]])=0,"❌ Missing","✔ OK")</f>
        <v>✔ OK</v>
      </c>
    </row>
    <row r="661" spans="1:12" x14ac:dyDescent="0.3">
      <c r="A661" t="s">
        <v>1190</v>
      </c>
      <c r="B661" t="s">
        <v>723</v>
      </c>
      <c r="C661" t="str">
        <f>IF(SessionMovements[[#This Row],[MovementID]]="","",
   _xlfn.XLOOKUP(SessionMovements[[#This Row],[MovementID]],MovementLibrary[MovementID],MovementLibrary[Name],"")
)</f>
        <v>Nordic Hamstring Curl</v>
      </c>
      <c r="D661" s="5" t="str">
        <f>IF(SessionMovements[[#This Row],[MovementID]]="","",
   _xlfn.XLOOKUP(SessionMovements[[#This Row],[MovementID]], MovementLibrary[MovementID], MovementLibrary[Modality], "")
)</f>
        <v>Gymnastics</v>
      </c>
      <c r="E661" s="5" t="str">
        <f>IF(SessionMovements[[#This Row],[MovementID]]="","",
   _xlfn.XLOOKUP(SessionMovements[[#This Row],[MovementID]], MovementLibrary[MovementID], MovementLibrary[Unit], "")
)</f>
        <v>reps</v>
      </c>
      <c r="F6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1">
        <v>3</v>
      </c>
      <c r="H661">
        <v>6</v>
      </c>
      <c r="K661" t="s">
        <v>1126</v>
      </c>
      <c r="L661" s="5" t="str">
        <f>IF(COUNTIF(Sessions[SessionID],SessionMovements[[#This Row],[SessionID]])=0,"❌ Missing","✔ OK")</f>
        <v>✔ OK</v>
      </c>
    </row>
    <row r="662" spans="1:12" x14ac:dyDescent="0.3">
      <c r="A662" t="s">
        <v>1190</v>
      </c>
      <c r="B662" t="s">
        <v>711</v>
      </c>
      <c r="C662" t="str">
        <f>IF(SessionMovements[[#This Row],[MovementID]]="","",
   _xlfn.XLOOKUP(SessionMovements[[#This Row],[MovementID]],MovementLibrary[MovementID],MovementLibrary[Name],"")
)</f>
        <v>Ring Row</v>
      </c>
      <c r="D662" s="5" t="str">
        <f>IF(SessionMovements[[#This Row],[MovementID]]="","",
   _xlfn.XLOOKUP(SessionMovements[[#This Row],[MovementID]], MovementLibrary[MovementID], MovementLibrary[Modality], "")
)</f>
        <v>Gymnastics</v>
      </c>
      <c r="E662" s="5" t="str">
        <f>IF(SessionMovements[[#This Row],[MovementID]]="","",
   _xlfn.XLOOKUP(SessionMovements[[#This Row],[MovementID]], MovementLibrary[MovementID], MovementLibrary[Unit], "")
)</f>
        <v>reps</v>
      </c>
      <c r="F6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2">
        <v>3</v>
      </c>
      <c r="H662">
        <v>10</v>
      </c>
      <c r="L662" s="5" t="str">
        <f>IF(COUNTIF(Sessions[SessionID],SessionMovements[[#This Row],[SessionID]])=0,"❌ Missing","✔ OK")</f>
        <v>✔ OK</v>
      </c>
    </row>
    <row r="663" spans="1:12" x14ac:dyDescent="0.3">
      <c r="A663" t="s">
        <v>1190</v>
      </c>
      <c r="B663" t="s">
        <v>388</v>
      </c>
      <c r="C663" t="str">
        <f>IF(SessionMovements[[#This Row],[MovementID]]="","",
   _xlfn.XLOOKUP(SessionMovements[[#This Row],[MovementID]],MovementLibrary[MovementID],MovementLibrary[Name],"")
)</f>
        <v>Pull-Up</v>
      </c>
      <c r="D663" s="5" t="str">
        <f>IF(SessionMovements[[#This Row],[MovementID]]="","",
   _xlfn.XLOOKUP(SessionMovements[[#This Row],[MovementID]], MovementLibrary[MovementID], MovementLibrary[Modality], "")
)</f>
        <v>Gymnastics</v>
      </c>
      <c r="E663" s="5" t="str">
        <f>IF(SessionMovements[[#This Row],[MovementID]]="","",
   _xlfn.XLOOKUP(SessionMovements[[#This Row],[MovementID]], MovementLibrary[MovementID], MovementLibrary[Unit], "")
)</f>
        <v>reps</v>
      </c>
      <c r="F6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3">
        <v>3</v>
      </c>
      <c r="H663">
        <v>8</v>
      </c>
      <c r="J663">
        <v>90</v>
      </c>
      <c r="K663" t="s">
        <v>1128</v>
      </c>
      <c r="L663" s="5" t="str">
        <f>IF(COUNTIF(Sessions[SessionID],SessionMovements[[#This Row],[SessionID]])=0,"❌ Missing","✔ OK")</f>
        <v>✔ OK</v>
      </c>
    </row>
    <row r="664" spans="1:12" x14ac:dyDescent="0.3">
      <c r="A664" t="s">
        <v>1190</v>
      </c>
      <c r="B664" t="s">
        <v>530</v>
      </c>
      <c r="C664" t="str">
        <f>IF(SessionMovements[[#This Row],[MovementID]]="","",
   _xlfn.XLOOKUP(SessionMovements[[#This Row],[MovementID]],MovementLibrary[MovementID],MovementLibrary[Name],"")
)</f>
        <v>Hollow Hold</v>
      </c>
      <c r="D664" s="5" t="str">
        <f>IF(SessionMovements[[#This Row],[MovementID]]="","",
   _xlfn.XLOOKUP(SessionMovements[[#This Row],[MovementID]], MovementLibrary[MovementID], MovementLibrary[Modality], "")
)</f>
        <v>Gymnastics</v>
      </c>
      <c r="E664" s="5" t="str">
        <f>IF(SessionMovements[[#This Row],[MovementID]]="","",
   _xlfn.XLOOKUP(SessionMovements[[#This Row],[MovementID]], MovementLibrary[MovementID], MovementLibrary[Unit], "")
)</f>
        <v>sec</v>
      </c>
      <c r="F6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4">
        <v>3</v>
      </c>
      <c r="H664">
        <v>30</v>
      </c>
      <c r="J664">
        <v>77</v>
      </c>
      <c r="K664" t="s">
        <v>1193</v>
      </c>
      <c r="L664" s="5" t="str">
        <f>IF(COUNTIF(Sessions[SessionID],SessionMovements[[#This Row],[SessionID]])=0,"❌ Missing","✔ OK")</f>
        <v>✔ OK</v>
      </c>
    </row>
    <row r="665" spans="1:12" x14ac:dyDescent="0.3">
      <c r="A665" t="s">
        <v>1194</v>
      </c>
      <c r="B665" t="s">
        <v>260</v>
      </c>
      <c r="C665" t="str">
        <f>IF(SessionMovements[[#This Row],[MovementID]]="","",
   _xlfn.XLOOKUP(SessionMovements[[#This Row],[MovementID]],MovementLibrary[MovementID],MovementLibrary[Name],"")
)</f>
        <v>Snatch</v>
      </c>
      <c r="D665" s="5" t="str">
        <f>IF(SessionMovements[[#This Row],[MovementID]]="","",
   _xlfn.XLOOKUP(SessionMovements[[#This Row],[MovementID]], MovementLibrary[MovementID], MovementLibrary[Modality], "")
)</f>
        <v>Barbell</v>
      </c>
      <c r="E665" s="5" t="str">
        <f>IF(SessionMovements[[#This Row],[MovementID]]="","",
   _xlfn.XLOOKUP(SessionMovements[[#This Row],[MovementID]], MovementLibrary[MovementID], MovementLibrary[Unit], "")
)</f>
        <v>kg</v>
      </c>
      <c r="F6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5">
        <v>1</v>
      </c>
      <c r="H665">
        <v>1</v>
      </c>
      <c r="J665">
        <v>96</v>
      </c>
      <c r="K665" t="s">
        <v>1195</v>
      </c>
      <c r="L665" s="5" t="str">
        <f>IF(COUNTIF(Sessions[SessionID],SessionMovements[[#This Row],[SessionID]])=0,"❌ Missing","✔ OK")</f>
        <v>✔ OK</v>
      </c>
    </row>
    <row r="666" spans="1:12" x14ac:dyDescent="0.3">
      <c r="A666" t="s">
        <v>1194</v>
      </c>
      <c r="B666" t="s">
        <v>260</v>
      </c>
      <c r="C666" t="str">
        <f>IF(SessionMovements[[#This Row],[MovementID]]="","",
   _xlfn.XLOOKUP(SessionMovements[[#This Row],[MovementID]],MovementLibrary[MovementID],MovementLibrary[Name],"")
)</f>
        <v>Snatch</v>
      </c>
      <c r="D666" s="5" t="str">
        <f>IF(SessionMovements[[#This Row],[MovementID]]="","",
   _xlfn.XLOOKUP(SessionMovements[[#This Row],[MovementID]], MovementLibrary[MovementID], MovementLibrary[Modality], "")
)</f>
        <v>Barbell</v>
      </c>
      <c r="E666" s="5" t="str">
        <f>IF(SessionMovements[[#This Row],[MovementID]]="","",
   _xlfn.XLOOKUP(SessionMovements[[#This Row],[MovementID]], MovementLibrary[MovementID], MovementLibrary[Unit], "")
)</f>
        <v>kg</v>
      </c>
      <c r="F6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6">
        <v>5</v>
      </c>
      <c r="H666">
        <v>1</v>
      </c>
      <c r="J666">
        <v>82</v>
      </c>
      <c r="K666" t="s">
        <v>1196</v>
      </c>
      <c r="L666" s="5" t="str">
        <f>IF(COUNTIF(Sessions[SessionID],SessionMovements[[#This Row],[SessionID]])=0,"❌ Missing","✔ OK")</f>
        <v>✔ OK</v>
      </c>
    </row>
    <row r="667" spans="1:12" x14ac:dyDescent="0.3">
      <c r="A667" t="s">
        <v>1194</v>
      </c>
      <c r="B667" t="s">
        <v>261</v>
      </c>
      <c r="C667" t="str">
        <f>IF(SessionMovements[[#This Row],[MovementID]]="","",
   _xlfn.XLOOKUP(SessionMovements[[#This Row],[MovementID]],MovementLibrary[MovementID],MovementLibrary[Name],"")
)</f>
        <v>Clean &amp; Jerk</v>
      </c>
      <c r="D667" s="5" t="str">
        <f>IF(SessionMovements[[#This Row],[MovementID]]="","",
   _xlfn.XLOOKUP(SessionMovements[[#This Row],[MovementID]], MovementLibrary[MovementID], MovementLibrary[Modality], "")
)</f>
        <v>Barbell</v>
      </c>
      <c r="E667" s="5" t="str">
        <f>IF(SessionMovements[[#This Row],[MovementID]]="","",
   _xlfn.XLOOKUP(SessionMovements[[#This Row],[MovementID]], MovementLibrary[MovementID], MovementLibrary[Unit], "")
)</f>
        <v>kg</v>
      </c>
      <c r="F6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7">
        <v>1</v>
      </c>
      <c r="H667">
        <v>1</v>
      </c>
      <c r="K667" t="s">
        <v>1197</v>
      </c>
      <c r="L667" s="5" t="str">
        <f>IF(COUNTIF(Sessions[SessionID],SessionMovements[[#This Row],[SessionID]])=0,"❌ Missing","✔ OK")</f>
        <v>✔ OK</v>
      </c>
    </row>
    <row r="668" spans="1:12" x14ac:dyDescent="0.3">
      <c r="A668" t="s">
        <v>1194</v>
      </c>
      <c r="B668" t="s">
        <v>261</v>
      </c>
      <c r="C668" t="str">
        <f>IF(SessionMovements[[#This Row],[MovementID]]="","",
   _xlfn.XLOOKUP(SessionMovements[[#This Row],[MovementID]],MovementLibrary[MovementID],MovementLibrary[Name],"")
)</f>
        <v>Clean &amp; Jerk</v>
      </c>
      <c r="D668" s="5" t="str">
        <f>IF(SessionMovements[[#This Row],[MovementID]]="","",
   _xlfn.XLOOKUP(SessionMovements[[#This Row],[MovementID]], MovementLibrary[MovementID], MovementLibrary[Modality], "")
)</f>
        <v>Barbell</v>
      </c>
      <c r="E668" s="5" t="str">
        <f>IF(SessionMovements[[#This Row],[MovementID]]="","",
   _xlfn.XLOOKUP(SessionMovements[[#This Row],[MovementID]], MovementLibrary[MovementID], MovementLibrary[Unit], "")
)</f>
        <v>kg</v>
      </c>
      <c r="F6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8">
        <v>5</v>
      </c>
      <c r="H668">
        <v>1</v>
      </c>
      <c r="J668">
        <v>61</v>
      </c>
      <c r="K668" t="s">
        <v>1198</v>
      </c>
      <c r="L668" s="5" t="str">
        <f>IF(COUNTIF(Sessions[SessionID],SessionMovements[[#This Row],[SessionID]])=0,"❌ Missing","✔ OK")</f>
        <v>✔ OK</v>
      </c>
    </row>
    <row r="669" spans="1:12" x14ac:dyDescent="0.3">
      <c r="A669" t="s">
        <v>1194</v>
      </c>
      <c r="B669" t="s">
        <v>726</v>
      </c>
      <c r="C669" t="str">
        <f>IF(SessionMovements[[#This Row],[MovementID]]="","",
   _xlfn.XLOOKUP(SessionMovements[[#This Row],[MovementID]],MovementLibrary[MovementID],MovementLibrary[Name],"")
)</f>
        <v>Pause Overhead Squat (2s)</v>
      </c>
      <c r="D669" s="5" t="str">
        <f>IF(SessionMovements[[#This Row],[MovementID]]="","",
   _xlfn.XLOOKUP(SessionMovements[[#This Row],[MovementID]], MovementLibrary[MovementID], MovementLibrary[Modality], "")
)</f>
        <v>Barbell</v>
      </c>
      <c r="E669" s="5" t="str">
        <f>IF(SessionMovements[[#This Row],[MovementID]]="","",
   _xlfn.XLOOKUP(SessionMovements[[#This Row],[MovementID]], MovementLibrary[MovementID], MovementLibrary[Unit], "")
)</f>
        <v>kg</v>
      </c>
      <c r="F6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69">
        <v>4</v>
      </c>
      <c r="H669">
        <v>2</v>
      </c>
      <c r="K669" t="s">
        <v>1199</v>
      </c>
      <c r="L669" s="5" t="str">
        <f>IF(COUNTIF(Sessions[SessionID],SessionMovements[[#This Row],[SessionID]])=0,"❌ Missing","✔ OK")</f>
        <v>✔ OK</v>
      </c>
    </row>
    <row r="670" spans="1:12" x14ac:dyDescent="0.3">
      <c r="A670" t="s">
        <v>1194</v>
      </c>
      <c r="B670" t="s">
        <v>298</v>
      </c>
      <c r="C670" t="str">
        <f>IF(SessionMovements[[#This Row],[MovementID]]="","",
   _xlfn.XLOOKUP(SessionMovements[[#This Row],[MovementID]],MovementLibrary[MovementID],MovementLibrary[Name],"")
)</f>
        <v>Back Squat</v>
      </c>
      <c r="D670" s="5" t="str">
        <f>IF(SessionMovements[[#This Row],[MovementID]]="","",
   _xlfn.XLOOKUP(SessionMovements[[#This Row],[MovementID]], MovementLibrary[MovementID], MovementLibrary[Modality], "")
)</f>
        <v>Barbell</v>
      </c>
      <c r="E670" s="5" t="str">
        <f>IF(SessionMovements[[#This Row],[MovementID]]="","",
   _xlfn.XLOOKUP(SessionMovements[[#This Row],[MovementID]], MovementLibrary[MovementID], MovementLibrary[Unit], "")
)</f>
        <v>kg</v>
      </c>
      <c r="F6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0">
        <v>3</v>
      </c>
      <c r="H670">
        <v>8</v>
      </c>
      <c r="L670" s="5" t="str">
        <f>IF(COUNTIF(Sessions[SessionID],SessionMovements[[#This Row],[SessionID]])=0,"❌ Missing","✔ OK")</f>
        <v>✔ OK</v>
      </c>
    </row>
    <row r="671" spans="1:12" x14ac:dyDescent="0.3">
      <c r="A671" t="s">
        <v>1194</v>
      </c>
      <c r="B671" t="s">
        <v>720</v>
      </c>
      <c r="C671" t="str">
        <f>IF(SessionMovements[[#This Row],[MovementID]]="","",
   _xlfn.XLOOKUP(SessionMovements[[#This Row],[MovementID]],MovementLibrary[MovementID],MovementLibrary[Name],"")
)</f>
        <v>Barbell Lunge</v>
      </c>
      <c r="D671" s="5" t="str">
        <f>IF(SessionMovements[[#This Row],[MovementID]]="","",
   _xlfn.XLOOKUP(SessionMovements[[#This Row],[MovementID]], MovementLibrary[MovementID], MovementLibrary[Modality], "")
)</f>
        <v>Barbell</v>
      </c>
      <c r="E671" s="5" t="str">
        <f>IF(SessionMovements[[#This Row],[MovementID]]="","",
   _xlfn.XLOOKUP(SessionMovements[[#This Row],[MovementID]], MovementLibrary[MovementID], MovementLibrary[Unit], "")
)</f>
        <v>kg</v>
      </c>
      <c r="F6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1">
        <v>3</v>
      </c>
      <c r="H671">
        <v>12</v>
      </c>
      <c r="K671" t="s">
        <v>1200</v>
      </c>
      <c r="L671" s="5" t="str">
        <f>IF(COUNTIF(Sessions[SessionID],SessionMovements[[#This Row],[SessionID]])=0,"❌ Missing","✔ OK")</f>
        <v>✔ OK</v>
      </c>
    </row>
    <row r="672" spans="1:12" x14ac:dyDescent="0.3">
      <c r="A672" t="s">
        <v>1194</v>
      </c>
      <c r="B672" t="s">
        <v>428</v>
      </c>
      <c r="C672" t="str">
        <f>IF(SessionMovements[[#This Row],[MovementID]]="","",
   _xlfn.XLOOKUP(SessionMovements[[#This Row],[MovementID]],MovementLibrary[MovementID],MovementLibrary[Name],"")
)</f>
        <v>AbMat Sit-Up</v>
      </c>
      <c r="D672" s="5" t="str">
        <f>IF(SessionMovements[[#This Row],[MovementID]]="","",
   _xlfn.XLOOKUP(SessionMovements[[#This Row],[MovementID]], MovementLibrary[MovementID], MovementLibrary[Modality], "")
)</f>
        <v>Gymnastics</v>
      </c>
      <c r="E672" s="5" t="str">
        <f>IF(SessionMovements[[#This Row],[MovementID]]="","",
   _xlfn.XLOOKUP(SessionMovements[[#This Row],[MovementID]], MovementLibrary[MovementID], MovementLibrary[Unit], "")
)</f>
        <v>reps</v>
      </c>
      <c r="F6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2">
        <v>3</v>
      </c>
      <c r="H672">
        <v>20</v>
      </c>
      <c r="K672" t="s">
        <v>1201</v>
      </c>
      <c r="L672" s="5" t="str">
        <f>IF(COUNTIF(Sessions[SessionID],SessionMovements[[#This Row],[SessionID]])=0,"❌ Missing","✔ OK")</f>
        <v>✔ OK</v>
      </c>
    </row>
    <row r="673" spans="1:12" x14ac:dyDescent="0.3">
      <c r="A673" t="s">
        <v>1202</v>
      </c>
      <c r="B673" t="s">
        <v>541</v>
      </c>
      <c r="C673" t="str">
        <f>IF(SessionMovements[[#This Row],[MovementID]]="","",
   _xlfn.XLOOKUP(SessionMovements[[#This Row],[MovementID]],MovementLibrary[MovementID],MovementLibrary[Name],"")
)</f>
        <v>Hang Power Snatch</v>
      </c>
      <c r="D673" s="5" t="str">
        <f>IF(SessionMovements[[#This Row],[MovementID]]="","",
   _xlfn.XLOOKUP(SessionMovements[[#This Row],[MovementID]], MovementLibrary[MovementID], MovementLibrary[Modality], "")
)</f>
        <v>Barbell</v>
      </c>
      <c r="E673" s="5" t="str">
        <f>IF(SessionMovements[[#This Row],[MovementID]]="","",
   _xlfn.XLOOKUP(SessionMovements[[#This Row],[MovementID]], MovementLibrary[MovementID], MovementLibrary[Unit], "")
)</f>
        <v>kg</v>
      </c>
      <c r="F6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3">
        <v>6</v>
      </c>
      <c r="H673">
        <v>2</v>
      </c>
      <c r="K673" t="s">
        <v>1137</v>
      </c>
      <c r="L673" s="5" t="str">
        <f>IF(COUNTIF(Sessions[SessionID],SessionMovements[[#This Row],[SessionID]])=0,"❌ Missing","✔ OK")</f>
        <v>✔ OK</v>
      </c>
    </row>
    <row r="674" spans="1:12" x14ac:dyDescent="0.3">
      <c r="A674" t="s">
        <v>1202</v>
      </c>
      <c r="B674" t="s">
        <v>534</v>
      </c>
      <c r="C674" t="str">
        <f>IF(SessionMovements[[#This Row],[MovementID]]="","",
   _xlfn.XLOOKUP(SessionMovements[[#This Row],[MovementID]],MovementLibrary[MovementID],MovementLibrary[Name],"")
)</f>
        <v>Snatch Pull</v>
      </c>
      <c r="D674" s="5" t="str">
        <f>IF(SessionMovements[[#This Row],[MovementID]]="","",
   _xlfn.XLOOKUP(SessionMovements[[#This Row],[MovementID]], MovementLibrary[MovementID], MovementLibrary[Modality], "")
)</f>
        <v>Barbell</v>
      </c>
      <c r="E674" s="5" t="str">
        <f>IF(SessionMovements[[#This Row],[MovementID]]="","",
   _xlfn.XLOOKUP(SessionMovements[[#This Row],[MovementID]], MovementLibrary[MovementID], MovementLibrary[Unit], "")
)</f>
        <v>kg</v>
      </c>
      <c r="F6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4">
        <v>5</v>
      </c>
      <c r="H674">
        <v>3</v>
      </c>
      <c r="K674" t="s">
        <v>1138</v>
      </c>
      <c r="L674" s="5" t="str">
        <f>IF(COUNTIF(Sessions[SessionID],SessionMovements[[#This Row],[SessionID]])=0,"❌ Missing","✔ OK")</f>
        <v>✔ OK</v>
      </c>
    </row>
    <row r="675" spans="1:12" x14ac:dyDescent="0.3">
      <c r="A675" t="s">
        <v>1202</v>
      </c>
      <c r="B675" t="s">
        <v>314</v>
      </c>
      <c r="C675" t="str">
        <f>IF(SessionMovements[[#This Row],[MovementID]]="","",
   _xlfn.XLOOKUP(SessionMovements[[#This Row],[MovementID]],MovementLibrary[MovementID],MovementLibrary[Name],"")
)</f>
        <v>Floor Press</v>
      </c>
      <c r="D675" s="5" t="str">
        <f>IF(SessionMovements[[#This Row],[MovementID]]="","",
   _xlfn.XLOOKUP(SessionMovements[[#This Row],[MovementID]], MovementLibrary[MovementID], MovementLibrary[Modality], "")
)</f>
        <v>Barbell</v>
      </c>
      <c r="E675" s="5" t="str">
        <f>IF(SessionMovements[[#This Row],[MovementID]]="","",
   _xlfn.XLOOKUP(SessionMovements[[#This Row],[MovementID]], MovementLibrary[MovementID], MovementLibrary[Unit], "")
)</f>
        <v>kg</v>
      </c>
      <c r="F6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5">
        <v>5</v>
      </c>
      <c r="H675">
        <v>10</v>
      </c>
      <c r="L675" s="5" t="str">
        <f>IF(COUNTIF(Sessions[SessionID],SessionMovements[[#This Row],[SessionID]])=0,"❌ Missing","✔ OK")</f>
        <v>✔ OK</v>
      </c>
    </row>
    <row r="676" spans="1:12" x14ac:dyDescent="0.3">
      <c r="A676" t="s">
        <v>1202</v>
      </c>
      <c r="B676" t="s">
        <v>711</v>
      </c>
      <c r="C676" t="str">
        <f>IF(SessionMovements[[#This Row],[MovementID]]="","",
   _xlfn.XLOOKUP(SessionMovements[[#This Row],[MovementID]],MovementLibrary[MovementID],MovementLibrary[Name],"")
)</f>
        <v>Ring Row</v>
      </c>
      <c r="D676" s="5" t="str">
        <f>IF(SessionMovements[[#This Row],[MovementID]]="","",
   _xlfn.XLOOKUP(SessionMovements[[#This Row],[MovementID]], MovementLibrary[MovementID], MovementLibrary[Modality], "")
)</f>
        <v>Gymnastics</v>
      </c>
      <c r="E676" s="5" t="str">
        <f>IF(SessionMovements[[#This Row],[MovementID]]="","",
   _xlfn.XLOOKUP(SessionMovements[[#This Row],[MovementID]], MovementLibrary[MovementID], MovementLibrary[Unit], "")
)</f>
        <v>reps</v>
      </c>
      <c r="F6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6">
        <v>5</v>
      </c>
      <c r="H676">
        <v>10</v>
      </c>
      <c r="K676" t="s">
        <v>1177</v>
      </c>
      <c r="L676" s="5" t="str">
        <f>IF(COUNTIF(Sessions[SessionID],SessionMovements[[#This Row],[SessionID]])=0,"❌ Missing","✔ OK")</f>
        <v>✔ OK</v>
      </c>
    </row>
    <row r="677" spans="1:12" x14ac:dyDescent="0.3">
      <c r="A677" t="s">
        <v>1202</v>
      </c>
      <c r="B677" t="s">
        <v>530</v>
      </c>
      <c r="C677" t="str">
        <f>IF(SessionMovements[[#This Row],[MovementID]]="","",
   _xlfn.XLOOKUP(SessionMovements[[#This Row],[MovementID]],MovementLibrary[MovementID],MovementLibrary[Name],"")
)</f>
        <v>Hollow Hold</v>
      </c>
      <c r="D677" s="5" t="str">
        <f>IF(SessionMovements[[#This Row],[MovementID]]="","",
   _xlfn.XLOOKUP(SessionMovements[[#This Row],[MovementID]], MovementLibrary[MovementID], MovementLibrary[Modality], "")
)</f>
        <v>Gymnastics</v>
      </c>
      <c r="E677" s="5" t="str">
        <f>IF(SessionMovements[[#This Row],[MovementID]]="","",
   _xlfn.XLOOKUP(SessionMovements[[#This Row],[MovementID]], MovementLibrary[MovementID], MovementLibrary[Unit], "")
)</f>
        <v>sec</v>
      </c>
      <c r="F6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7">
        <v>3</v>
      </c>
      <c r="H677">
        <v>30</v>
      </c>
      <c r="J677">
        <v>63</v>
      </c>
      <c r="K677" t="s">
        <v>1178</v>
      </c>
      <c r="L677" s="5" t="str">
        <f>IF(COUNTIF(Sessions[SessionID],SessionMovements[[#This Row],[SessionID]])=0,"❌ Missing","✔ OK")</f>
        <v>✔ OK</v>
      </c>
    </row>
    <row r="678" spans="1:12" x14ac:dyDescent="0.3">
      <c r="A678" t="s">
        <v>1203</v>
      </c>
      <c r="B678" t="s">
        <v>258</v>
      </c>
      <c r="C678" t="str">
        <f>IF(SessionMovements[[#This Row],[MovementID]]="","",
   _xlfn.XLOOKUP(SessionMovements[[#This Row],[MovementID]],MovementLibrary[MovementID],MovementLibrary[Name],"")
)</f>
        <v>Overhead Squat</v>
      </c>
      <c r="D678" s="5" t="str">
        <f>IF(SessionMovements[[#This Row],[MovementID]]="","",
   _xlfn.XLOOKUP(SessionMovements[[#This Row],[MovementID]], MovementLibrary[MovementID], MovementLibrary[Modality], "")
)</f>
        <v>Barbell</v>
      </c>
      <c r="E678" s="5" t="str">
        <f>IF(SessionMovements[[#This Row],[MovementID]]="","",
   _xlfn.XLOOKUP(SessionMovements[[#This Row],[MovementID]], MovementLibrary[MovementID], MovementLibrary[Unit], "")
)</f>
        <v>kg</v>
      </c>
      <c r="F6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8">
        <v>4</v>
      </c>
      <c r="H678">
        <v>5</v>
      </c>
      <c r="K678" t="s">
        <v>1180</v>
      </c>
      <c r="L678" s="5" t="str">
        <f>IF(COUNTIF(Sessions[SessionID],SessionMovements[[#This Row],[SessionID]])=0,"❌ Missing","✔ OK")</f>
        <v>✔ OK</v>
      </c>
    </row>
    <row r="679" spans="1:12" x14ac:dyDescent="0.3">
      <c r="A679" t="s">
        <v>1203</v>
      </c>
      <c r="B679" t="s">
        <v>298</v>
      </c>
      <c r="C679" t="str">
        <f>IF(SessionMovements[[#This Row],[MovementID]]="","",
   _xlfn.XLOOKUP(SessionMovements[[#This Row],[MovementID]],MovementLibrary[MovementID],MovementLibrary[Name],"")
)</f>
        <v>Back Squat</v>
      </c>
      <c r="D679" s="5" t="str">
        <f>IF(SessionMovements[[#This Row],[MovementID]]="","",
   _xlfn.XLOOKUP(SessionMovements[[#This Row],[MovementID]], MovementLibrary[MovementID], MovementLibrary[Modality], "")
)</f>
        <v>Barbell</v>
      </c>
      <c r="E679" s="5" t="str">
        <f>IF(SessionMovements[[#This Row],[MovementID]]="","",
   _xlfn.XLOOKUP(SessionMovements[[#This Row],[MovementID]], MovementLibrary[MovementID], MovementLibrary[Unit], "")
)</f>
        <v>kg</v>
      </c>
      <c r="F6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79">
        <v>3</v>
      </c>
      <c r="H679">
        <v>10</v>
      </c>
      <c r="K679" t="s">
        <v>1181</v>
      </c>
      <c r="L679" s="5" t="str">
        <f>IF(COUNTIF(Sessions[SessionID],SessionMovements[[#This Row],[SessionID]])=0,"❌ Missing","✔ OK")</f>
        <v>✔ OK</v>
      </c>
    </row>
    <row r="680" spans="1:12" x14ac:dyDescent="0.3">
      <c r="A680" t="s">
        <v>1203</v>
      </c>
      <c r="B680" t="s">
        <v>309</v>
      </c>
      <c r="C680" t="str">
        <f>IF(SessionMovements[[#This Row],[MovementID]]="","",
   _xlfn.XLOOKUP(SessionMovements[[#This Row],[MovementID]],MovementLibrary[MovementID],MovementLibrary[Name],"")
)</f>
        <v>Romanian Deadlift</v>
      </c>
      <c r="D680" s="5" t="str">
        <f>IF(SessionMovements[[#This Row],[MovementID]]="","",
   _xlfn.XLOOKUP(SessionMovements[[#This Row],[MovementID]], MovementLibrary[MovementID], MovementLibrary[Modality], "")
)</f>
        <v>Barbell</v>
      </c>
      <c r="E680" s="5" t="str">
        <f>IF(SessionMovements[[#This Row],[MovementID]]="","",
   _xlfn.XLOOKUP(SessionMovements[[#This Row],[MovementID]], MovementLibrary[MovementID], MovementLibrary[Unit], "")
)</f>
        <v>kg</v>
      </c>
      <c r="F6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0">
        <v>4</v>
      </c>
      <c r="H680">
        <v>8</v>
      </c>
      <c r="K680" t="s">
        <v>1182</v>
      </c>
      <c r="L680" s="5" t="str">
        <f>IF(COUNTIF(Sessions[SessionID],SessionMovements[[#This Row],[SessionID]])=0,"❌ Missing","✔ OK")</f>
        <v>✔ OK</v>
      </c>
    </row>
    <row r="681" spans="1:12" x14ac:dyDescent="0.3">
      <c r="A681" t="s">
        <v>1203</v>
      </c>
      <c r="B681" t="s">
        <v>720</v>
      </c>
      <c r="C681" t="str">
        <f>IF(SessionMovements[[#This Row],[MovementID]]="","",
   _xlfn.XLOOKUP(SessionMovements[[#This Row],[MovementID]],MovementLibrary[MovementID],MovementLibrary[Name],"")
)</f>
        <v>Barbell Lunge</v>
      </c>
      <c r="D681" s="5" t="str">
        <f>IF(SessionMovements[[#This Row],[MovementID]]="","",
   _xlfn.XLOOKUP(SessionMovements[[#This Row],[MovementID]], MovementLibrary[MovementID], MovementLibrary[Modality], "")
)</f>
        <v>Barbell</v>
      </c>
      <c r="E681" s="5" t="str">
        <f>IF(SessionMovements[[#This Row],[MovementID]]="","",
   _xlfn.XLOOKUP(SessionMovements[[#This Row],[MovementID]], MovementLibrary[MovementID], MovementLibrary[Unit], "")
)</f>
        <v>kg</v>
      </c>
      <c r="F6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1">
        <v>4</v>
      </c>
      <c r="H681">
        <v>10</v>
      </c>
      <c r="L681" s="5" t="str">
        <f>IF(COUNTIF(Sessions[SessionID],SessionMovements[[#This Row],[SessionID]])=0,"❌ Missing","✔ OK")</f>
        <v>✔ OK</v>
      </c>
    </row>
    <row r="682" spans="1:12" x14ac:dyDescent="0.3">
      <c r="A682" t="s">
        <v>1203</v>
      </c>
      <c r="B682" t="s">
        <v>717</v>
      </c>
      <c r="C682" t="str">
        <f>IF(SessionMovements[[#This Row],[MovementID]]="","",
   _xlfn.XLOOKUP(SessionMovements[[#This Row],[MovementID]],MovementLibrary[MovementID],MovementLibrary[Name],"")
)</f>
        <v>Broad Jump</v>
      </c>
      <c r="D682" s="5" t="str">
        <f>IF(SessionMovements[[#This Row],[MovementID]]="","",
   _xlfn.XLOOKUP(SessionMovements[[#This Row],[MovementID]], MovementLibrary[MovementID], MovementLibrary[Modality], "")
)</f>
        <v>Plyometric</v>
      </c>
      <c r="E682" s="5" t="str">
        <f>IF(SessionMovements[[#This Row],[MovementID]]="","",
   _xlfn.XLOOKUP(SessionMovements[[#This Row],[MovementID]], MovementLibrary[MovementID], MovementLibrary[Unit], "")
)</f>
        <v>reps</v>
      </c>
      <c r="F6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2">
        <v>4</v>
      </c>
      <c r="H682">
        <v>3</v>
      </c>
      <c r="J682">
        <v>78</v>
      </c>
      <c r="K682" t="s">
        <v>1183</v>
      </c>
      <c r="L682" s="5" t="str">
        <f>IF(COUNTIF(Sessions[SessionID],SessionMovements[[#This Row],[SessionID]])=0,"❌ Missing","✔ OK")</f>
        <v>✔ OK</v>
      </c>
    </row>
    <row r="683" spans="1:12" x14ac:dyDescent="0.3">
      <c r="A683" t="s">
        <v>1203</v>
      </c>
      <c r="B683" t="s">
        <v>428</v>
      </c>
      <c r="C683" t="str">
        <f>IF(SessionMovements[[#This Row],[MovementID]]="","",
   _xlfn.XLOOKUP(SessionMovements[[#This Row],[MovementID]],MovementLibrary[MovementID],MovementLibrary[Name],"")
)</f>
        <v>AbMat Sit-Up</v>
      </c>
      <c r="D683" s="5" t="str">
        <f>IF(SessionMovements[[#This Row],[MovementID]]="","",
   _xlfn.XLOOKUP(SessionMovements[[#This Row],[MovementID]], MovementLibrary[MovementID], MovementLibrary[Modality], "")
)</f>
        <v>Gymnastics</v>
      </c>
      <c r="E683" s="5" t="str">
        <f>IF(SessionMovements[[#This Row],[MovementID]]="","",
   _xlfn.XLOOKUP(SessionMovements[[#This Row],[MovementID]], MovementLibrary[MovementID], MovementLibrary[Unit], "")
)</f>
        <v>reps</v>
      </c>
      <c r="F6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3">
        <v>3</v>
      </c>
      <c r="H683">
        <v>20</v>
      </c>
      <c r="K683" t="s">
        <v>1184</v>
      </c>
      <c r="L683" s="5" t="str">
        <f>IF(COUNTIF(Sessions[SessionID],SessionMovements[[#This Row],[SessionID]])=0,"❌ Missing","✔ OK")</f>
        <v>✔ OK</v>
      </c>
    </row>
    <row r="684" spans="1:12" x14ac:dyDescent="0.3">
      <c r="A684" t="s">
        <v>1204</v>
      </c>
      <c r="B684" t="s">
        <v>290</v>
      </c>
      <c r="C684" t="str">
        <f>IF(SessionMovements[[#This Row],[MovementID]]="","",
   _xlfn.XLOOKUP(SessionMovements[[#This Row],[MovementID]],MovementLibrary[MovementID],MovementLibrary[Name],"")
)</f>
        <v>Push Jerk</v>
      </c>
      <c r="D684" s="5" t="str">
        <f>IF(SessionMovements[[#This Row],[MovementID]]="","",
   _xlfn.XLOOKUP(SessionMovements[[#This Row],[MovementID]], MovementLibrary[MovementID], MovementLibrary[Modality], "")
)</f>
        <v>Barbell</v>
      </c>
      <c r="E684" s="5" t="str">
        <f>IF(SessionMovements[[#This Row],[MovementID]]="","",
   _xlfn.XLOOKUP(SessionMovements[[#This Row],[MovementID]], MovementLibrary[MovementID], MovementLibrary[Unit], "")
)</f>
        <v>kg</v>
      </c>
      <c r="F6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4">
        <v>6</v>
      </c>
      <c r="H684">
        <v>2</v>
      </c>
      <c r="K684" t="s">
        <v>1186</v>
      </c>
      <c r="L684" s="5" t="str">
        <f>IF(COUNTIF(Sessions[SessionID],SessionMovements[[#This Row],[SessionID]])=0,"❌ Missing","✔ OK")</f>
        <v>✔ OK</v>
      </c>
    </row>
    <row r="685" spans="1:12" x14ac:dyDescent="0.3">
      <c r="A685" t="s">
        <v>1204</v>
      </c>
      <c r="B685" t="s">
        <v>262</v>
      </c>
      <c r="C685" t="str">
        <f>IF(SessionMovements[[#This Row],[MovementID]]="","",
   _xlfn.XLOOKUP(SessionMovements[[#This Row],[MovementID]],MovementLibrary[MovementID],MovementLibrary[Name],"")
)</f>
        <v>Strict Press</v>
      </c>
      <c r="D685" s="5" t="str">
        <f>IF(SessionMovements[[#This Row],[MovementID]]="","",
   _xlfn.XLOOKUP(SessionMovements[[#This Row],[MovementID]], MovementLibrary[MovementID], MovementLibrary[Modality], "")
)</f>
        <v>Barbell</v>
      </c>
      <c r="E685" s="5" t="str">
        <f>IF(SessionMovements[[#This Row],[MovementID]]="","",
   _xlfn.XLOOKUP(SessionMovements[[#This Row],[MovementID]], MovementLibrary[MovementID], MovementLibrary[Unit], "")
)</f>
        <v>kg</v>
      </c>
      <c r="F6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5">
        <v>5</v>
      </c>
      <c r="H685">
        <v>5</v>
      </c>
      <c r="K685" t="s">
        <v>1187</v>
      </c>
      <c r="L685" s="5" t="str">
        <f>IF(COUNTIF(Sessions[SessionID],SessionMovements[[#This Row],[SessionID]])=0,"❌ Missing","✔ OK")</f>
        <v>✔ OK</v>
      </c>
    </row>
    <row r="686" spans="1:12" x14ac:dyDescent="0.3">
      <c r="A686" t="s">
        <v>1204</v>
      </c>
      <c r="B686" t="s">
        <v>441</v>
      </c>
      <c r="C686" t="str">
        <f>IF(SessionMovements[[#This Row],[MovementID]]="","",
   _xlfn.XLOOKUP(SessionMovements[[#This Row],[MovementID]],MovementLibrary[MovementID],MovementLibrary[Name],"")
)</f>
        <v>Ring Dip</v>
      </c>
      <c r="D686" s="5" t="str">
        <f>IF(SessionMovements[[#This Row],[MovementID]]="","",
   _xlfn.XLOOKUP(SessionMovements[[#This Row],[MovementID]], MovementLibrary[MovementID], MovementLibrary[Modality], "")
)</f>
        <v>Gymnastics</v>
      </c>
      <c r="E686" s="5" t="str">
        <f>IF(SessionMovements[[#This Row],[MovementID]]="","",
   _xlfn.XLOOKUP(SessionMovements[[#This Row],[MovementID]], MovementLibrary[MovementID], MovementLibrary[Unit], "")
)</f>
        <v>reps</v>
      </c>
      <c r="F6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6">
        <v>4</v>
      </c>
      <c r="H686">
        <v>8</v>
      </c>
      <c r="L686" s="5" t="str">
        <f>IF(COUNTIF(Sessions[SessionID],SessionMovements[[#This Row],[SessionID]])=0,"❌ Missing","✔ OK")</f>
        <v>✔ OK</v>
      </c>
    </row>
    <row r="687" spans="1:12" x14ac:dyDescent="0.3">
      <c r="A687" t="s">
        <v>1204</v>
      </c>
      <c r="B687" t="s">
        <v>256</v>
      </c>
      <c r="C687" t="str">
        <f>IF(SessionMovements[[#This Row],[MovementID]]="","",
   _xlfn.XLOOKUP(SessionMovements[[#This Row],[MovementID]],MovementLibrary[MovementID],MovementLibrary[Name],"")
)</f>
        <v>Bench Press</v>
      </c>
      <c r="D687" s="5" t="str">
        <f>IF(SessionMovements[[#This Row],[MovementID]]="","",
   _xlfn.XLOOKUP(SessionMovements[[#This Row],[MovementID]], MovementLibrary[MovementID], MovementLibrary[Modality], "")
)</f>
        <v>Barbell</v>
      </c>
      <c r="E687" s="5" t="str">
        <f>IF(SessionMovements[[#This Row],[MovementID]]="","",
   _xlfn.XLOOKUP(SessionMovements[[#This Row],[MovementID]], MovementLibrary[MovementID], MovementLibrary[Unit], "")
)</f>
        <v>kg</v>
      </c>
      <c r="F6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7">
        <v>4</v>
      </c>
      <c r="H687">
        <v>10</v>
      </c>
      <c r="K687" t="s">
        <v>1188</v>
      </c>
      <c r="L687" s="5" t="str">
        <f>IF(COUNTIF(Sessions[SessionID],SessionMovements[[#This Row],[SessionID]])=0,"❌ Missing","✔ OK")</f>
        <v>✔ OK</v>
      </c>
    </row>
    <row r="688" spans="1:12" x14ac:dyDescent="0.3">
      <c r="A688" t="s">
        <v>1204</v>
      </c>
      <c r="B688" t="s">
        <v>437</v>
      </c>
      <c r="C688" t="str">
        <f>IF(SessionMovements[[#This Row],[MovementID]]="","",
   _xlfn.XLOOKUP(SessionMovements[[#This Row],[MovementID]],MovementLibrary[MovementID],MovementLibrary[Name],"")
)</f>
        <v>Plank Hold</v>
      </c>
      <c r="D688" s="5" t="str">
        <f>IF(SessionMovements[[#This Row],[MovementID]]="","",
   _xlfn.XLOOKUP(SessionMovements[[#This Row],[MovementID]], MovementLibrary[MovementID], MovementLibrary[Modality], "")
)</f>
        <v>Gymnastics</v>
      </c>
      <c r="E688" s="5" t="str">
        <f>IF(SessionMovements[[#This Row],[MovementID]]="","",
   _xlfn.XLOOKUP(SessionMovements[[#This Row],[MovementID]], MovementLibrary[MovementID], MovementLibrary[Unit], "")
)</f>
        <v>sec</v>
      </c>
      <c r="F6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8">
        <v>3</v>
      </c>
      <c r="H688">
        <v>40</v>
      </c>
      <c r="K688" t="s">
        <v>1189</v>
      </c>
      <c r="L688" s="5" t="str">
        <f>IF(COUNTIF(Sessions[SessionID],SessionMovements[[#This Row],[SessionID]])=0,"❌ Missing","✔ OK")</f>
        <v>✔ OK</v>
      </c>
    </row>
    <row r="689" spans="1:12" x14ac:dyDescent="0.3">
      <c r="A689" t="s">
        <v>1205</v>
      </c>
      <c r="B689" t="s">
        <v>539</v>
      </c>
      <c r="C689" t="str">
        <f>IF(SessionMovements[[#This Row],[MovementID]]="","",
   _xlfn.XLOOKUP(SessionMovements[[#This Row],[MovementID]],MovementLibrary[MovementID],MovementLibrary[Name],"")
)</f>
        <v>Hang Power Clean</v>
      </c>
      <c r="D689" s="5" t="str">
        <f>IF(SessionMovements[[#This Row],[MovementID]]="","",
   _xlfn.XLOOKUP(SessionMovements[[#This Row],[MovementID]], MovementLibrary[MovementID], MovementLibrary[Modality], "")
)</f>
        <v>Barbell</v>
      </c>
      <c r="E689" s="5" t="str">
        <f>IF(SessionMovements[[#This Row],[MovementID]]="","",
   _xlfn.XLOOKUP(SessionMovements[[#This Row],[MovementID]], MovementLibrary[MovementID], MovementLibrary[Unit], "")
)</f>
        <v>kg</v>
      </c>
      <c r="F6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89">
        <v>6</v>
      </c>
      <c r="H689">
        <v>2</v>
      </c>
      <c r="K689" t="s">
        <v>1191</v>
      </c>
      <c r="L689" s="5" t="str">
        <f>IF(COUNTIF(Sessions[SessionID],SessionMovements[[#This Row],[SessionID]])=0,"❌ Missing","✔ OK")</f>
        <v>✔ OK</v>
      </c>
    </row>
    <row r="690" spans="1:12" x14ac:dyDescent="0.3">
      <c r="A690" t="s">
        <v>1205</v>
      </c>
      <c r="B690" t="s">
        <v>537</v>
      </c>
      <c r="C690" t="str">
        <f>IF(SessionMovements[[#This Row],[MovementID]]="","",
   _xlfn.XLOOKUP(SessionMovements[[#This Row],[MovementID]],MovementLibrary[MovementID],MovementLibrary[Name],"")
)</f>
        <v>Clean Pull</v>
      </c>
      <c r="D690" s="5" t="str">
        <f>IF(SessionMovements[[#This Row],[MovementID]]="","",
   _xlfn.XLOOKUP(SessionMovements[[#This Row],[MovementID]], MovementLibrary[MovementID], MovementLibrary[Modality], "")
)</f>
        <v>Barbell</v>
      </c>
      <c r="E690" s="5" t="str">
        <f>IF(SessionMovements[[#This Row],[MovementID]]="","",
   _xlfn.XLOOKUP(SessionMovements[[#This Row],[MovementID]], MovementLibrary[MovementID], MovementLibrary[Unit], "")
)</f>
        <v>kg</v>
      </c>
      <c r="F6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0">
        <v>5</v>
      </c>
      <c r="H690">
        <v>3</v>
      </c>
      <c r="K690" t="s">
        <v>1192</v>
      </c>
      <c r="L690" s="5" t="str">
        <f>IF(COUNTIF(Sessions[SessionID],SessionMovements[[#This Row],[SessionID]])=0,"❌ Missing","✔ OK")</f>
        <v>✔ OK</v>
      </c>
    </row>
    <row r="691" spans="1:12" x14ac:dyDescent="0.3">
      <c r="A691" t="s">
        <v>1205</v>
      </c>
      <c r="B691" t="s">
        <v>723</v>
      </c>
      <c r="C691" t="str">
        <f>IF(SessionMovements[[#This Row],[MovementID]]="","",
   _xlfn.XLOOKUP(SessionMovements[[#This Row],[MovementID]],MovementLibrary[MovementID],MovementLibrary[Name],"")
)</f>
        <v>Nordic Hamstring Curl</v>
      </c>
      <c r="D691" s="5" t="str">
        <f>IF(SessionMovements[[#This Row],[MovementID]]="","",
   _xlfn.XLOOKUP(SessionMovements[[#This Row],[MovementID]], MovementLibrary[MovementID], MovementLibrary[Modality], "")
)</f>
        <v>Gymnastics</v>
      </c>
      <c r="E691" s="5" t="str">
        <f>IF(SessionMovements[[#This Row],[MovementID]]="","",
   _xlfn.XLOOKUP(SessionMovements[[#This Row],[MovementID]], MovementLibrary[MovementID], MovementLibrary[Unit], "")
)</f>
        <v>reps</v>
      </c>
      <c r="F6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1">
        <v>3</v>
      </c>
      <c r="H691">
        <v>6</v>
      </c>
      <c r="K691" t="s">
        <v>1126</v>
      </c>
      <c r="L691" s="5" t="str">
        <f>IF(COUNTIF(Sessions[SessionID],SessionMovements[[#This Row],[SessionID]])=0,"❌ Missing","✔ OK")</f>
        <v>✔ OK</v>
      </c>
    </row>
    <row r="692" spans="1:12" x14ac:dyDescent="0.3">
      <c r="A692" t="s">
        <v>1205</v>
      </c>
      <c r="B692" t="s">
        <v>711</v>
      </c>
      <c r="C692" t="str">
        <f>IF(SessionMovements[[#This Row],[MovementID]]="","",
   _xlfn.XLOOKUP(SessionMovements[[#This Row],[MovementID]],MovementLibrary[MovementID],MovementLibrary[Name],"")
)</f>
        <v>Ring Row</v>
      </c>
      <c r="D692" s="5" t="str">
        <f>IF(SessionMovements[[#This Row],[MovementID]]="","",
   _xlfn.XLOOKUP(SessionMovements[[#This Row],[MovementID]], MovementLibrary[MovementID], MovementLibrary[Modality], "")
)</f>
        <v>Gymnastics</v>
      </c>
      <c r="E692" s="5" t="str">
        <f>IF(SessionMovements[[#This Row],[MovementID]]="","",
   _xlfn.XLOOKUP(SessionMovements[[#This Row],[MovementID]], MovementLibrary[MovementID], MovementLibrary[Unit], "")
)</f>
        <v>reps</v>
      </c>
      <c r="F6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2">
        <v>3</v>
      </c>
      <c r="H692">
        <v>10</v>
      </c>
      <c r="L692" s="5" t="str">
        <f>IF(COUNTIF(Sessions[SessionID],SessionMovements[[#This Row],[SessionID]])=0,"❌ Missing","✔ OK")</f>
        <v>✔ OK</v>
      </c>
    </row>
    <row r="693" spans="1:12" x14ac:dyDescent="0.3">
      <c r="A693" t="s">
        <v>1205</v>
      </c>
      <c r="B693" t="s">
        <v>388</v>
      </c>
      <c r="C693" t="str">
        <f>IF(SessionMovements[[#This Row],[MovementID]]="","",
   _xlfn.XLOOKUP(SessionMovements[[#This Row],[MovementID]],MovementLibrary[MovementID],MovementLibrary[Name],"")
)</f>
        <v>Pull-Up</v>
      </c>
      <c r="D693" s="5" t="str">
        <f>IF(SessionMovements[[#This Row],[MovementID]]="","",
   _xlfn.XLOOKUP(SessionMovements[[#This Row],[MovementID]], MovementLibrary[MovementID], MovementLibrary[Modality], "")
)</f>
        <v>Gymnastics</v>
      </c>
      <c r="E693" s="5" t="str">
        <f>IF(SessionMovements[[#This Row],[MovementID]]="","",
   _xlfn.XLOOKUP(SessionMovements[[#This Row],[MovementID]], MovementLibrary[MovementID], MovementLibrary[Unit], "")
)</f>
        <v>reps</v>
      </c>
      <c r="F6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3">
        <v>3</v>
      </c>
      <c r="H693">
        <v>8</v>
      </c>
      <c r="J693">
        <v>95</v>
      </c>
      <c r="K693" t="s">
        <v>1128</v>
      </c>
      <c r="L693" s="5" t="str">
        <f>IF(COUNTIF(Sessions[SessionID],SessionMovements[[#This Row],[SessionID]])=0,"❌ Missing","✔ OK")</f>
        <v>✔ OK</v>
      </c>
    </row>
    <row r="694" spans="1:12" x14ac:dyDescent="0.3">
      <c r="A694" t="s">
        <v>1205</v>
      </c>
      <c r="B694" t="s">
        <v>530</v>
      </c>
      <c r="C694" t="str">
        <f>IF(SessionMovements[[#This Row],[MovementID]]="","",
   _xlfn.XLOOKUP(SessionMovements[[#This Row],[MovementID]],MovementLibrary[MovementID],MovementLibrary[Name],"")
)</f>
        <v>Hollow Hold</v>
      </c>
      <c r="D694" s="5" t="str">
        <f>IF(SessionMovements[[#This Row],[MovementID]]="","",
   _xlfn.XLOOKUP(SessionMovements[[#This Row],[MovementID]], MovementLibrary[MovementID], MovementLibrary[Modality], "")
)</f>
        <v>Gymnastics</v>
      </c>
      <c r="E694" s="5" t="str">
        <f>IF(SessionMovements[[#This Row],[MovementID]]="","",
   _xlfn.XLOOKUP(SessionMovements[[#This Row],[MovementID]], MovementLibrary[MovementID], MovementLibrary[Unit], "")
)</f>
        <v>sec</v>
      </c>
      <c r="F6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4">
        <v>3</v>
      </c>
      <c r="H694">
        <v>30</v>
      </c>
      <c r="J694">
        <v>81</v>
      </c>
      <c r="K694" t="s">
        <v>1193</v>
      </c>
      <c r="L694" s="5" t="str">
        <f>IF(COUNTIF(Sessions[SessionID],SessionMovements[[#This Row],[SessionID]])=0,"❌ Missing","✔ OK")</f>
        <v>✔ OK</v>
      </c>
    </row>
    <row r="695" spans="1:12" x14ac:dyDescent="0.3">
      <c r="A695" t="s">
        <v>1206</v>
      </c>
      <c r="B695" t="s">
        <v>260</v>
      </c>
      <c r="C695" t="str">
        <f>IF(SessionMovements[[#This Row],[MovementID]]="","",
   _xlfn.XLOOKUP(SessionMovements[[#This Row],[MovementID]],MovementLibrary[MovementID],MovementLibrary[Name],"")
)</f>
        <v>Snatch</v>
      </c>
      <c r="D695" s="5" t="str">
        <f>IF(SessionMovements[[#This Row],[MovementID]]="","",
   _xlfn.XLOOKUP(SessionMovements[[#This Row],[MovementID]], MovementLibrary[MovementID], MovementLibrary[Modality], "")
)</f>
        <v>Barbell</v>
      </c>
      <c r="E695" s="5" t="str">
        <f>IF(SessionMovements[[#This Row],[MovementID]]="","",
   _xlfn.XLOOKUP(SessionMovements[[#This Row],[MovementID]], MovementLibrary[MovementID], MovementLibrary[Unit], "")
)</f>
        <v>kg</v>
      </c>
      <c r="F6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5">
        <v>1</v>
      </c>
      <c r="H695">
        <v>1</v>
      </c>
      <c r="J695">
        <v>10</v>
      </c>
      <c r="K695" t="s">
        <v>1195</v>
      </c>
      <c r="L695" s="5" t="str">
        <f>IF(COUNTIF(Sessions[SessionID],SessionMovements[[#This Row],[SessionID]])=0,"❌ Missing","✔ OK")</f>
        <v>✔ OK</v>
      </c>
    </row>
    <row r="696" spans="1:12" x14ac:dyDescent="0.3">
      <c r="A696" t="s">
        <v>1206</v>
      </c>
      <c r="B696" t="s">
        <v>260</v>
      </c>
      <c r="C696" t="str">
        <f>IF(SessionMovements[[#This Row],[MovementID]]="","",
   _xlfn.XLOOKUP(SessionMovements[[#This Row],[MovementID]],MovementLibrary[MovementID],MovementLibrary[Name],"")
)</f>
        <v>Snatch</v>
      </c>
      <c r="D696" s="5" t="str">
        <f>IF(SessionMovements[[#This Row],[MovementID]]="","",
   _xlfn.XLOOKUP(SessionMovements[[#This Row],[MovementID]], MovementLibrary[MovementID], MovementLibrary[Modality], "")
)</f>
        <v>Barbell</v>
      </c>
      <c r="E696" s="5" t="str">
        <f>IF(SessionMovements[[#This Row],[MovementID]]="","",
   _xlfn.XLOOKUP(SessionMovements[[#This Row],[MovementID]], MovementLibrary[MovementID], MovementLibrary[Unit], "")
)</f>
        <v>kg</v>
      </c>
      <c r="F6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6">
        <v>5</v>
      </c>
      <c r="H696">
        <v>1</v>
      </c>
      <c r="J696">
        <v>85</v>
      </c>
      <c r="K696" t="s">
        <v>1196</v>
      </c>
      <c r="L696" s="5" t="str">
        <f>IF(COUNTIF(Sessions[SessionID],SessionMovements[[#This Row],[SessionID]])=0,"❌ Missing","✔ OK")</f>
        <v>✔ OK</v>
      </c>
    </row>
    <row r="697" spans="1:12" x14ac:dyDescent="0.3">
      <c r="A697" t="s">
        <v>1206</v>
      </c>
      <c r="B697" t="s">
        <v>261</v>
      </c>
      <c r="C697" t="str">
        <f>IF(SessionMovements[[#This Row],[MovementID]]="","",
   _xlfn.XLOOKUP(SessionMovements[[#This Row],[MovementID]],MovementLibrary[MovementID],MovementLibrary[Name],"")
)</f>
        <v>Clean &amp; Jerk</v>
      </c>
      <c r="D697" s="5" t="str">
        <f>IF(SessionMovements[[#This Row],[MovementID]]="","",
   _xlfn.XLOOKUP(SessionMovements[[#This Row],[MovementID]], MovementLibrary[MovementID], MovementLibrary[Modality], "")
)</f>
        <v>Barbell</v>
      </c>
      <c r="E697" s="5" t="str">
        <f>IF(SessionMovements[[#This Row],[MovementID]]="","",
   _xlfn.XLOOKUP(SessionMovements[[#This Row],[MovementID]], MovementLibrary[MovementID], MovementLibrary[Unit], "")
)</f>
        <v>kg</v>
      </c>
      <c r="F6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7">
        <v>1</v>
      </c>
      <c r="H697">
        <v>1</v>
      </c>
      <c r="K697" t="s">
        <v>1197</v>
      </c>
      <c r="L697" s="5" t="str">
        <f>IF(COUNTIF(Sessions[SessionID],SessionMovements[[#This Row],[SessionID]])=0,"❌ Missing","✔ OK")</f>
        <v>✔ OK</v>
      </c>
    </row>
    <row r="698" spans="1:12" x14ac:dyDescent="0.3">
      <c r="A698" t="s">
        <v>1206</v>
      </c>
      <c r="B698" t="s">
        <v>261</v>
      </c>
      <c r="C698" t="str">
        <f>IF(SessionMovements[[#This Row],[MovementID]]="","",
   _xlfn.XLOOKUP(SessionMovements[[#This Row],[MovementID]],MovementLibrary[MovementID],MovementLibrary[Name],"")
)</f>
        <v>Clean &amp; Jerk</v>
      </c>
      <c r="D698" s="5" t="str">
        <f>IF(SessionMovements[[#This Row],[MovementID]]="","",
   _xlfn.XLOOKUP(SessionMovements[[#This Row],[MovementID]], MovementLibrary[MovementID], MovementLibrary[Modality], "")
)</f>
        <v>Barbell</v>
      </c>
      <c r="E698" s="5" t="str">
        <f>IF(SessionMovements[[#This Row],[MovementID]]="","",
   _xlfn.XLOOKUP(SessionMovements[[#This Row],[MovementID]], MovementLibrary[MovementID], MovementLibrary[Unit], "")
)</f>
        <v>kg</v>
      </c>
      <c r="F6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8">
        <v>5</v>
      </c>
      <c r="H698">
        <v>1</v>
      </c>
      <c r="J698">
        <v>63</v>
      </c>
      <c r="K698" t="s">
        <v>1198</v>
      </c>
      <c r="L698" s="5" t="str">
        <f>IF(COUNTIF(Sessions[SessionID],SessionMovements[[#This Row],[SessionID]])=0,"❌ Missing","✔ OK")</f>
        <v>✔ OK</v>
      </c>
    </row>
    <row r="699" spans="1:12" x14ac:dyDescent="0.3">
      <c r="A699" t="s">
        <v>1206</v>
      </c>
      <c r="B699" t="s">
        <v>726</v>
      </c>
      <c r="C699" t="str">
        <f>IF(SessionMovements[[#This Row],[MovementID]]="","",
   _xlfn.XLOOKUP(SessionMovements[[#This Row],[MovementID]],MovementLibrary[MovementID],MovementLibrary[Name],"")
)</f>
        <v>Pause Overhead Squat (2s)</v>
      </c>
      <c r="D699" s="5" t="str">
        <f>IF(SessionMovements[[#This Row],[MovementID]]="","",
   _xlfn.XLOOKUP(SessionMovements[[#This Row],[MovementID]], MovementLibrary[MovementID], MovementLibrary[Modality], "")
)</f>
        <v>Barbell</v>
      </c>
      <c r="E699" s="5" t="str">
        <f>IF(SessionMovements[[#This Row],[MovementID]]="","",
   _xlfn.XLOOKUP(SessionMovements[[#This Row],[MovementID]], MovementLibrary[MovementID], MovementLibrary[Unit], "")
)</f>
        <v>kg</v>
      </c>
      <c r="F6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699">
        <v>4</v>
      </c>
      <c r="H699">
        <v>2</v>
      </c>
      <c r="K699" t="s">
        <v>1199</v>
      </c>
      <c r="L699" s="5" t="str">
        <f>IF(COUNTIF(Sessions[SessionID],SessionMovements[[#This Row],[SessionID]])=0,"❌ Missing","✔ OK")</f>
        <v>✔ OK</v>
      </c>
    </row>
    <row r="700" spans="1:12" x14ac:dyDescent="0.3">
      <c r="A700" t="s">
        <v>1206</v>
      </c>
      <c r="B700" t="s">
        <v>298</v>
      </c>
      <c r="C700" t="str">
        <f>IF(SessionMovements[[#This Row],[MovementID]]="","",
   _xlfn.XLOOKUP(SessionMovements[[#This Row],[MovementID]],MovementLibrary[MovementID],MovementLibrary[Name],"")
)</f>
        <v>Back Squat</v>
      </c>
      <c r="D700" s="5" t="str">
        <f>IF(SessionMovements[[#This Row],[MovementID]]="","",
   _xlfn.XLOOKUP(SessionMovements[[#This Row],[MovementID]], MovementLibrary[MovementID], MovementLibrary[Modality], "")
)</f>
        <v>Barbell</v>
      </c>
      <c r="E700" s="5" t="str">
        <f>IF(SessionMovements[[#This Row],[MovementID]]="","",
   _xlfn.XLOOKUP(SessionMovements[[#This Row],[MovementID]], MovementLibrary[MovementID], MovementLibrary[Unit], "")
)</f>
        <v>kg</v>
      </c>
      <c r="F7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0">
        <v>3</v>
      </c>
      <c r="H700">
        <v>8</v>
      </c>
      <c r="L700" s="5" t="str">
        <f>IF(COUNTIF(Sessions[SessionID],SessionMovements[[#This Row],[SessionID]])=0,"❌ Missing","✔ OK")</f>
        <v>✔ OK</v>
      </c>
    </row>
    <row r="701" spans="1:12" x14ac:dyDescent="0.3">
      <c r="A701" t="s">
        <v>1206</v>
      </c>
      <c r="B701" t="s">
        <v>720</v>
      </c>
      <c r="C701" t="str">
        <f>IF(SessionMovements[[#This Row],[MovementID]]="","",
   _xlfn.XLOOKUP(SessionMovements[[#This Row],[MovementID]],MovementLibrary[MovementID],MovementLibrary[Name],"")
)</f>
        <v>Barbell Lunge</v>
      </c>
      <c r="D701" s="5" t="str">
        <f>IF(SessionMovements[[#This Row],[MovementID]]="","",
   _xlfn.XLOOKUP(SessionMovements[[#This Row],[MovementID]], MovementLibrary[MovementID], MovementLibrary[Modality], "")
)</f>
        <v>Barbell</v>
      </c>
      <c r="E701" s="5" t="str">
        <f>IF(SessionMovements[[#This Row],[MovementID]]="","",
   _xlfn.XLOOKUP(SessionMovements[[#This Row],[MovementID]], MovementLibrary[MovementID], MovementLibrary[Unit], "")
)</f>
        <v>kg</v>
      </c>
      <c r="F7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1">
        <v>3</v>
      </c>
      <c r="H701">
        <v>12</v>
      </c>
      <c r="K701" t="s">
        <v>1200</v>
      </c>
      <c r="L701" s="5" t="str">
        <f>IF(COUNTIF(Sessions[SessionID],SessionMovements[[#This Row],[SessionID]])=0,"❌ Missing","✔ OK")</f>
        <v>✔ OK</v>
      </c>
    </row>
    <row r="702" spans="1:12" x14ac:dyDescent="0.3">
      <c r="A702" t="s">
        <v>1206</v>
      </c>
      <c r="B702" t="s">
        <v>428</v>
      </c>
      <c r="C702" t="str">
        <f>IF(SessionMovements[[#This Row],[MovementID]]="","",
   _xlfn.XLOOKUP(SessionMovements[[#This Row],[MovementID]],MovementLibrary[MovementID],MovementLibrary[Name],"")
)</f>
        <v>AbMat Sit-Up</v>
      </c>
      <c r="D702" s="5" t="str">
        <f>IF(SessionMovements[[#This Row],[MovementID]]="","",
   _xlfn.XLOOKUP(SessionMovements[[#This Row],[MovementID]], MovementLibrary[MovementID], MovementLibrary[Modality], "")
)</f>
        <v>Gymnastics</v>
      </c>
      <c r="E702" s="5" t="str">
        <f>IF(SessionMovements[[#This Row],[MovementID]]="","",
   _xlfn.XLOOKUP(SessionMovements[[#This Row],[MovementID]], MovementLibrary[MovementID], MovementLibrary[Unit], "")
)</f>
        <v>reps</v>
      </c>
      <c r="F7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2">
        <v>3</v>
      </c>
      <c r="H702">
        <v>20</v>
      </c>
      <c r="K702" t="s">
        <v>1201</v>
      </c>
      <c r="L702" s="5" t="str">
        <f>IF(COUNTIF(Sessions[SessionID],SessionMovements[[#This Row],[SessionID]])=0,"❌ Missing","✔ OK")</f>
        <v>✔ OK</v>
      </c>
    </row>
    <row r="703" spans="1:12" x14ac:dyDescent="0.3">
      <c r="A703" t="s">
        <v>1207</v>
      </c>
      <c r="B703" t="s">
        <v>541</v>
      </c>
      <c r="C703" t="str">
        <f>IF(SessionMovements[[#This Row],[MovementID]]="","",
   _xlfn.XLOOKUP(SessionMovements[[#This Row],[MovementID]],MovementLibrary[MovementID],MovementLibrary[Name],"")
)</f>
        <v>Hang Power Snatch</v>
      </c>
      <c r="D703" s="5" t="str">
        <f>IF(SessionMovements[[#This Row],[MovementID]]="","",
   _xlfn.XLOOKUP(SessionMovements[[#This Row],[MovementID]], MovementLibrary[MovementID], MovementLibrary[Modality], "")
)</f>
        <v>Barbell</v>
      </c>
      <c r="E703" s="5" t="str">
        <f>IF(SessionMovements[[#This Row],[MovementID]]="","",
   _xlfn.XLOOKUP(SessionMovements[[#This Row],[MovementID]], MovementLibrary[MovementID], MovementLibrary[Unit], "")
)</f>
        <v>kg</v>
      </c>
      <c r="F7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3">
        <v>6</v>
      </c>
      <c r="H703">
        <v>2</v>
      </c>
      <c r="K703" t="s">
        <v>1137</v>
      </c>
      <c r="L703" s="5" t="str">
        <f>IF(COUNTIF(Sessions[SessionID],SessionMovements[[#This Row],[SessionID]])=0,"❌ Missing","✔ OK")</f>
        <v>✔ OK</v>
      </c>
    </row>
    <row r="704" spans="1:12" x14ac:dyDescent="0.3">
      <c r="A704" t="s">
        <v>1207</v>
      </c>
      <c r="B704" t="s">
        <v>534</v>
      </c>
      <c r="C704" t="str">
        <f>IF(SessionMovements[[#This Row],[MovementID]]="","",
   _xlfn.XLOOKUP(SessionMovements[[#This Row],[MovementID]],MovementLibrary[MovementID],MovementLibrary[Name],"")
)</f>
        <v>Snatch Pull</v>
      </c>
      <c r="D704" s="5" t="str">
        <f>IF(SessionMovements[[#This Row],[MovementID]]="","",
   _xlfn.XLOOKUP(SessionMovements[[#This Row],[MovementID]], MovementLibrary[MovementID], MovementLibrary[Modality], "")
)</f>
        <v>Barbell</v>
      </c>
      <c r="E704" s="5" t="str">
        <f>IF(SessionMovements[[#This Row],[MovementID]]="","",
   _xlfn.XLOOKUP(SessionMovements[[#This Row],[MovementID]], MovementLibrary[MovementID], MovementLibrary[Unit], "")
)</f>
        <v>kg</v>
      </c>
      <c r="F7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4">
        <v>5</v>
      </c>
      <c r="H704">
        <v>3</v>
      </c>
      <c r="K704" t="s">
        <v>1138</v>
      </c>
      <c r="L704" s="5" t="str">
        <f>IF(COUNTIF(Sessions[SessionID],SessionMovements[[#This Row],[SessionID]])=0,"❌ Missing","✔ OK")</f>
        <v>✔ OK</v>
      </c>
    </row>
    <row r="705" spans="1:12" x14ac:dyDescent="0.3">
      <c r="A705" t="s">
        <v>1207</v>
      </c>
      <c r="B705" t="s">
        <v>314</v>
      </c>
      <c r="C705" t="str">
        <f>IF(SessionMovements[[#This Row],[MovementID]]="","",
   _xlfn.XLOOKUP(SessionMovements[[#This Row],[MovementID]],MovementLibrary[MovementID],MovementLibrary[Name],"")
)</f>
        <v>Floor Press</v>
      </c>
      <c r="D705" s="5" t="str">
        <f>IF(SessionMovements[[#This Row],[MovementID]]="","",
   _xlfn.XLOOKUP(SessionMovements[[#This Row],[MovementID]], MovementLibrary[MovementID], MovementLibrary[Modality], "")
)</f>
        <v>Barbell</v>
      </c>
      <c r="E705" s="5" t="str">
        <f>IF(SessionMovements[[#This Row],[MovementID]]="","",
   _xlfn.XLOOKUP(SessionMovements[[#This Row],[MovementID]], MovementLibrary[MovementID], MovementLibrary[Unit], "")
)</f>
        <v>kg</v>
      </c>
      <c r="F7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5">
        <v>5</v>
      </c>
      <c r="H705">
        <v>10</v>
      </c>
      <c r="L705" s="5" t="str">
        <f>IF(COUNTIF(Sessions[SessionID],SessionMovements[[#This Row],[SessionID]])=0,"❌ Missing","✔ OK")</f>
        <v>✔ OK</v>
      </c>
    </row>
    <row r="706" spans="1:12" x14ac:dyDescent="0.3">
      <c r="A706" t="s">
        <v>1207</v>
      </c>
      <c r="B706" t="s">
        <v>711</v>
      </c>
      <c r="C706" t="str">
        <f>IF(SessionMovements[[#This Row],[MovementID]]="","",
   _xlfn.XLOOKUP(SessionMovements[[#This Row],[MovementID]],MovementLibrary[MovementID],MovementLibrary[Name],"")
)</f>
        <v>Ring Row</v>
      </c>
      <c r="D706" s="5" t="str">
        <f>IF(SessionMovements[[#This Row],[MovementID]]="","",
   _xlfn.XLOOKUP(SessionMovements[[#This Row],[MovementID]], MovementLibrary[MovementID], MovementLibrary[Modality], "")
)</f>
        <v>Gymnastics</v>
      </c>
      <c r="E706" s="5" t="str">
        <f>IF(SessionMovements[[#This Row],[MovementID]]="","",
   _xlfn.XLOOKUP(SessionMovements[[#This Row],[MovementID]], MovementLibrary[MovementID], MovementLibrary[Unit], "")
)</f>
        <v>reps</v>
      </c>
      <c r="F7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6">
        <v>5</v>
      </c>
      <c r="H706">
        <v>10</v>
      </c>
      <c r="K706" t="s">
        <v>1177</v>
      </c>
      <c r="L706" s="5" t="str">
        <f>IF(COUNTIF(Sessions[SessionID],SessionMovements[[#This Row],[SessionID]])=0,"❌ Missing","✔ OK")</f>
        <v>✔ OK</v>
      </c>
    </row>
    <row r="707" spans="1:12" x14ac:dyDescent="0.3">
      <c r="A707" t="s">
        <v>1207</v>
      </c>
      <c r="B707" t="s">
        <v>530</v>
      </c>
      <c r="C707" t="str">
        <f>IF(SessionMovements[[#This Row],[MovementID]]="","",
   _xlfn.XLOOKUP(SessionMovements[[#This Row],[MovementID]],MovementLibrary[MovementID],MovementLibrary[Name],"")
)</f>
        <v>Hollow Hold</v>
      </c>
      <c r="D707" s="5" t="str">
        <f>IF(SessionMovements[[#This Row],[MovementID]]="","",
   _xlfn.XLOOKUP(SessionMovements[[#This Row],[MovementID]], MovementLibrary[MovementID], MovementLibrary[Modality], "")
)</f>
        <v>Gymnastics</v>
      </c>
      <c r="E707" s="5" t="str">
        <f>IF(SessionMovements[[#This Row],[MovementID]]="","",
   _xlfn.XLOOKUP(SessionMovements[[#This Row],[MovementID]], MovementLibrary[MovementID], MovementLibrary[Unit], "")
)</f>
        <v>sec</v>
      </c>
      <c r="F7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7">
        <v>3</v>
      </c>
      <c r="H707">
        <v>30</v>
      </c>
      <c r="J707">
        <v>65</v>
      </c>
      <c r="K707" t="s">
        <v>1178</v>
      </c>
      <c r="L707" s="5" t="str">
        <f>IF(COUNTIF(Sessions[SessionID],SessionMovements[[#This Row],[SessionID]])=0,"❌ Missing","✔ OK")</f>
        <v>✔ OK</v>
      </c>
    </row>
    <row r="708" spans="1:12" x14ac:dyDescent="0.3">
      <c r="A708" t="s">
        <v>1208</v>
      </c>
      <c r="B708" t="s">
        <v>258</v>
      </c>
      <c r="C708" t="str">
        <f>IF(SessionMovements[[#This Row],[MovementID]]="","",
   _xlfn.XLOOKUP(SessionMovements[[#This Row],[MovementID]],MovementLibrary[MovementID],MovementLibrary[Name],"")
)</f>
        <v>Overhead Squat</v>
      </c>
      <c r="D708" s="5" t="str">
        <f>IF(SessionMovements[[#This Row],[MovementID]]="","",
   _xlfn.XLOOKUP(SessionMovements[[#This Row],[MovementID]], MovementLibrary[MovementID], MovementLibrary[Modality], "")
)</f>
        <v>Barbell</v>
      </c>
      <c r="E708" s="5" t="str">
        <f>IF(SessionMovements[[#This Row],[MovementID]]="","",
   _xlfn.XLOOKUP(SessionMovements[[#This Row],[MovementID]], MovementLibrary[MovementID], MovementLibrary[Unit], "")
)</f>
        <v>kg</v>
      </c>
      <c r="F7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8">
        <v>4</v>
      </c>
      <c r="H708">
        <v>5</v>
      </c>
      <c r="K708" t="s">
        <v>1180</v>
      </c>
      <c r="L708" s="5" t="str">
        <f>IF(COUNTIF(Sessions[SessionID],SessionMovements[[#This Row],[SessionID]])=0,"❌ Missing","✔ OK")</f>
        <v>✔ OK</v>
      </c>
    </row>
    <row r="709" spans="1:12" x14ac:dyDescent="0.3">
      <c r="A709" t="s">
        <v>1208</v>
      </c>
      <c r="B709" t="s">
        <v>298</v>
      </c>
      <c r="C709" t="str">
        <f>IF(SessionMovements[[#This Row],[MovementID]]="","",
   _xlfn.XLOOKUP(SessionMovements[[#This Row],[MovementID]],MovementLibrary[MovementID],MovementLibrary[Name],"")
)</f>
        <v>Back Squat</v>
      </c>
      <c r="D709" s="5" t="str">
        <f>IF(SessionMovements[[#This Row],[MovementID]]="","",
   _xlfn.XLOOKUP(SessionMovements[[#This Row],[MovementID]], MovementLibrary[MovementID], MovementLibrary[Modality], "")
)</f>
        <v>Barbell</v>
      </c>
      <c r="E709" s="5" t="str">
        <f>IF(SessionMovements[[#This Row],[MovementID]]="","",
   _xlfn.XLOOKUP(SessionMovements[[#This Row],[MovementID]], MovementLibrary[MovementID], MovementLibrary[Unit], "")
)</f>
        <v>kg</v>
      </c>
      <c r="F7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09">
        <v>3</v>
      </c>
      <c r="H709">
        <v>10</v>
      </c>
      <c r="K709" t="s">
        <v>1181</v>
      </c>
      <c r="L709" s="5" t="str">
        <f>IF(COUNTIF(Sessions[SessionID],SessionMovements[[#This Row],[SessionID]])=0,"❌ Missing","✔ OK")</f>
        <v>✔ OK</v>
      </c>
    </row>
    <row r="710" spans="1:12" x14ac:dyDescent="0.3">
      <c r="A710" t="s">
        <v>1208</v>
      </c>
      <c r="B710" t="s">
        <v>309</v>
      </c>
      <c r="C710" t="str">
        <f>IF(SessionMovements[[#This Row],[MovementID]]="","",
   _xlfn.XLOOKUP(SessionMovements[[#This Row],[MovementID]],MovementLibrary[MovementID],MovementLibrary[Name],"")
)</f>
        <v>Romanian Deadlift</v>
      </c>
      <c r="D710" s="5" t="str">
        <f>IF(SessionMovements[[#This Row],[MovementID]]="","",
   _xlfn.XLOOKUP(SessionMovements[[#This Row],[MovementID]], MovementLibrary[MovementID], MovementLibrary[Modality], "")
)</f>
        <v>Barbell</v>
      </c>
      <c r="E710" s="5" t="str">
        <f>IF(SessionMovements[[#This Row],[MovementID]]="","",
   _xlfn.XLOOKUP(SessionMovements[[#This Row],[MovementID]], MovementLibrary[MovementID], MovementLibrary[Unit], "")
)</f>
        <v>kg</v>
      </c>
      <c r="F7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0">
        <v>4</v>
      </c>
      <c r="H710">
        <v>8</v>
      </c>
      <c r="K710" t="s">
        <v>1182</v>
      </c>
      <c r="L710" s="5" t="str">
        <f>IF(COUNTIF(Sessions[SessionID],SessionMovements[[#This Row],[SessionID]])=0,"❌ Missing","✔ OK")</f>
        <v>✔ OK</v>
      </c>
    </row>
    <row r="711" spans="1:12" x14ac:dyDescent="0.3">
      <c r="A711" t="s">
        <v>1208</v>
      </c>
      <c r="B711" t="s">
        <v>720</v>
      </c>
      <c r="C711" t="str">
        <f>IF(SessionMovements[[#This Row],[MovementID]]="","",
   _xlfn.XLOOKUP(SessionMovements[[#This Row],[MovementID]],MovementLibrary[MovementID],MovementLibrary[Name],"")
)</f>
        <v>Barbell Lunge</v>
      </c>
      <c r="D711" s="5" t="str">
        <f>IF(SessionMovements[[#This Row],[MovementID]]="","",
   _xlfn.XLOOKUP(SessionMovements[[#This Row],[MovementID]], MovementLibrary[MovementID], MovementLibrary[Modality], "")
)</f>
        <v>Barbell</v>
      </c>
      <c r="E711" s="5" t="str">
        <f>IF(SessionMovements[[#This Row],[MovementID]]="","",
   _xlfn.XLOOKUP(SessionMovements[[#This Row],[MovementID]], MovementLibrary[MovementID], MovementLibrary[Unit], "")
)</f>
        <v>kg</v>
      </c>
      <c r="F7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1">
        <v>4</v>
      </c>
      <c r="H711">
        <v>10</v>
      </c>
      <c r="L711" s="5" t="str">
        <f>IF(COUNTIF(Sessions[SessionID],SessionMovements[[#This Row],[SessionID]])=0,"❌ Missing","✔ OK")</f>
        <v>✔ OK</v>
      </c>
    </row>
    <row r="712" spans="1:12" x14ac:dyDescent="0.3">
      <c r="A712" t="s">
        <v>1208</v>
      </c>
      <c r="B712" t="s">
        <v>717</v>
      </c>
      <c r="C712" t="str">
        <f>IF(SessionMovements[[#This Row],[MovementID]]="","",
   _xlfn.XLOOKUP(SessionMovements[[#This Row],[MovementID]],MovementLibrary[MovementID],MovementLibrary[Name],"")
)</f>
        <v>Broad Jump</v>
      </c>
      <c r="D712" s="5" t="str">
        <f>IF(SessionMovements[[#This Row],[MovementID]]="","",
   _xlfn.XLOOKUP(SessionMovements[[#This Row],[MovementID]], MovementLibrary[MovementID], MovementLibrary[Modality], "")
)</f>
        <v>Plyometric</v>
      </c>
      <c r="E712" s="5" t="str">
        <f>IF(SessionMovements[[#This Row],[MovementID]]="","",
   _xlfn.XLOOKUP(SessionMovements[[#This Row],[MovementID]], MovementLibrary[MovementID], MovementLibrary[Unit], "")
)</f>
        <v>reps</v>
      </c>
      <c r="F7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2">
        <v>4</v>
      </c>
      <c r="H712">
        <v>3</v>
      </c>
      <c r="J712">
        <v>82</v>
      </c>
      <c r="K712" t="s">
        <v>1183</v>
      </c>
      <c r="L712" s="5" t="str">
        <f>IF(COUNTIF(Sessions[SessionID],SessionMovements[[#This Row],[SessionID]])=0,"❌ Missing","✔ OK")</f>
        <v>✔ OK</v>
      </c>
    </row>
    <row r="713" spans="1:12" x14ac:dyDescent="0.3">
      <c r="A713" t="s">
        <v>1208</v>
      </c>
      <c r="B713" t="s">
        <v>428</v>
      </c>
      <c r="C713" t="str">
        <f>IF(SessionMovements[[#This Row],[MovementID]]="","",
   _xlfn.XLOOKUP(SessionMovements[[#This Row],[MovementID]],MovementLibrary[MovementID],MovementLibrary[Name],"")
)</f>
        <v>AbMat Sit-Up</v>
      </c>
      <c r="D713" s="5" t="str">
        <f>IF(SessionMovements[[#This Row],[MovementID]]="","",
   _xlfn.XLOOKUP(SessionMovements[[#This Row],[MovementID]], MovementLibrary[MovementID], MovementLibrary[Modality], "")
)</f>
        <v>Gymnastics</v>
      </c>
      <c r="E713" s="5" t="str">
        <f>IF(SessionMovements[[#This Row],[MovementID]]="","",
   _xlfn.XLOOKUP(SessionMovements[[#This Row],[MovementID]], MovementLibrary[MovementID], MovementLibrary[Unit], "")
)</f>
        <v>reps</v>
      </c>
      <c r="F7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3">
        <v>3</v>
      </c>
      <c r="H713">
        <v>20</v>
      </c>
      <c r="K713" t="s">
        <v>1184</v>
      </c>
      <c r="L713" s="5" t="str">
        <f>IF(COUNTIF(Sessions[SessionID],SessionMovements[[#This Row],[SessionID]])=0,"❌ Missing","✔ OK")</f>
        <v>✔ OK</v>
      </c>
    </row>
    <row r="714" spans="1:12" x14ac:dyDescent="0.3">
      <c r="A714" t="s">
        <v>1209</v>
      </c>
      <c r="B714" t="s">
        <v>290</v>
      </c>
      <c r="C714" t="str">
        <f>IF(SessionMovements[[#This Row],[MovementID]]="","",
   _xlfn.XLOOKUP(SessionMovements[[#This Row],[MovementID]],MovementLibrary[MovementID],MovementLibrary[Name],"")
)</f>
        <v>Push Jerk</v>
      </c>
      <c r="D714" s="5" t="str">
        <f>IF(SessionMovements[[#This Row],[MovementID]]="","",
   _xlfn.XLOOKUP(SessionMovements[[#This Row],[MovementID]], MovementLibrary[MovementID], MovementLibrary[Modality], "")
)</f>
        <v>Barbell</v>
      </c>
      <c r="E714" s="5" t="str">
        <f>IF(SessionMovements[[#This Row],[MovementID]]="","",
   _xlfn.XLOOKUP(SessionMovements[[#This Row],[MovementID]], MovementLibrary[MovementID], MovementLibrary[Unit], "")
)</f>
        <v>kg</v>
      </c>
      <c r="F7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4">
        <v>6</v>
      </c>
      <c r="H714">
        <v>2</v>
      </c>
      <c r="K714" t="s">
        <v>1186</v>
      </c>
      <c r="L714" s="5" t="str">
        <f>IF(COUNTIF(Sessions[SessionID],SessionMovements[[#This Row],[SessionID]])=0,"❌ Missing","✔ OK")</f>
        <v>✔ OK</v>
      </c>
    </row>
    <row r="715" spans="1:12" x14ac:dyDescent="0.3">
      <c r="A715" t="s">
        <v>1209</v>
      </c>
      <c r="B715" t="s">
        <v>262</v>
      </c>
      <c r="C715" t="str">
        <f>IF(SessionMovements[[#This Row],[MovementID]]="","",
   _xlfn.XLOOKUP(SessionMovements[[#This Row],[MovementID]],MovementLibrary[MovementID],MovementLibrary[Name],"")
)</f>
        <v>Strict Press</v>
      </c>
      <c r="D715" s="5" t="str">
        <f>IF(SessionMovements[[#This Row],[MovementID]]="","",
   _xlfn.XLOOKUP(SessionMovements[[#This Row],[MovementID]], MovementLibrary[MovementID], MovementLibrary[Modality], "")
)</f>
        <v>Barbell</v>
      </c>
      <c r="E715" s="5" t="str">
        <f>IF(SessionMovements[[#This Row],[MovementID]]="","",
   _xlfn.XLOOKUP(SessionMovements[[#This Row],[MovementID]], MovementLibrary[MovementID], MovementLibrary[Unit], "")
)</f>
        <v>kg</v>
      </c>
      <c r="F7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5">
        <v>5</v>
      </c>
      <c r="H715">
        <v>5</v>
      </c>
      <c r="K715" t="s">
        <v>1187</v>
      </c>
      <c r="L715" s="5" t="str">
        <f>IF(COUNTIF(Sessions[SessionID],SessionMovements[[#This Row],[SessionID]])=0,"❌ Missing","✔ OK")</f>
        <v>✔ OK</v>
      </c>
    </row>
    <row r="716" spans="1:12" x14ac:dyDescent="0.3">
      <c r="A716" t="s">
        <v>1209</v>
      </c>
      <c r="B716" t="s">
        <v>441</v>
      </c>
      <c r="C716" t="str">
        <f>IF(SessionMovements[[#This Row],[MovementID]]="","",
   _xlfn.XLOOKUP(SessionMovements[[#This Row],[MovementID]],MovementLibrary[MovementID],MovementLibrary[Name],"")
)</f>
        <v>Ring Dip</v>
      </c>
      <c r="D716" s="5" t="str">
        <f>IF(SessionMovements[[#This Row],[MovementID]]="","",
   _xlfn.XLOOKUP(SessionMovements[[#This Row],[MovementID]], MovementLibrary[MovementID], MovementLibrary[Modality], "")
)</f>
        <v>Gymnastics</v>
      </c>
      <c r="E716" s="5" t="str">
        <f>IF(SessionMovements[[#This Row],[MovementID]]="","",
   _xlfn.XLOOKUP(SessionMovements[[#This Row],[MovementID]], MovementLibrary[MovementID], MovementLibrary[Unit], "")
)</f>
        <v>reps</v>
      </c>
      <c r="F7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6">
        <v>4</v>
      </c>
      <c r="H716">
        <v>8</v>
      </c>
      <c r="L716" s="5" t="str">
        <f>IF(COUNTIF(Sessions[SessionID],SessionMovements[[#This Row],[SessionID]])=0,"❌ Missing","✔ OK")</f>
        <v>✔ OK</v>
      </c>
    </row>
    <row r="717" spans="1:12" x14ac:dyDescent="0.3">
      <c r="A717" t="s">
        <v>1209</v>
      </c>
      <c r="B717" t="s">
        <v>256</v>
      </c>
      <c r="C717" t="str">
        <f>IF(SessionMovements[[#This Row],[MovementID]]="","",
   _xlfn.XLOOKUP(SessionMovements[[#This Row],[MovementID]],MovementLibrary[MovementID],MovementLibrary[Name],"")
)</f>
        <v>Bench Press</v>
      </c>
      <c r="D717" s="5" t="str">
        <f>IF(SessionMovements[[#This Row],[MovementID]]="","",
   _xlfn.XLOOKUP(SessionMovements[[#This Row],[MovementID]], MovementLibrary[MovementID], MovementLibrary[Modality], "")
)</f>
        <v>Barbell</v>
      </c>
      <c r="E717" s="5" t="str">
        <f>IF(SessionMovements[[#This Row],[MovementID]]="","",
   _xlfn.XLOOKUP(SessionMovements[[#This Row],[MovementID]], MovementLibrary[MovementID], MovementLibrary[Unit], "")
)</f>
        <v>kg</v>
      </c>
      <c r="F7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7">
        <v>4</v>
      </c>
      <c r="H717">
        <v>10</v>
      </c>
      <c r="K717" t="s">
        <v>1188</v>
      </c>
      <c r="L717" s="5" t="str">
        <f>IF(COUNTIF(Sessions[SessionID],SessionMovements[[#This Row],[SessionID]])=0,"❌ Missing","✔ OK")</f>
        <v>✔ OK</v>
      </c>
    </row>
    <row r="718" spans="1:12" x14ac:dyDescent="0.3">
      <c r="A718" t="s">
        <v>1209</v>
      </c>
      <c r="B718" t="s">
        <v>437</v>
      </c>
      <c r="C718" t="str">
        <f>IF(SessionMovements[[#This Row],[MovementID]]="","",
   _xlfn.XLOOKUP(SessionMovements[[#This Row],[MovementID]],MovementLibrary[MovementID],MovementLibrary[Name],"")
)</f>
        <v>Plank Hold</v>
      </c>
      <c r="D718" s="5" t="str">
        <f>IF(SessionMovements[[#This Row],[MovementID]]="","",
   _xlfn.XLOOKUP(SessionMovements[[#This Row],[MovementID]], MovementLibrary[MovementID], MovementLibrary[Modality], "")
)</f>
        <v>Gymnastics</v>
      </c>
      <c r="E718" s="5" t="str">
        <f>IF(SessionMovements[[#This Row],[MovementID]]="","",
   _xlfn.XLOOKUP(SessionMovements[[#This Row],[MovementID]], MovementLibrary[MovementID], MovementLibrary[Unit], "")
)</f>
        <v>sec</v>
      </c>
      <c r="F7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8">
        <v>3</v>
      </c>
      <c r="H718">
        <v>40</v>
      </c>
      <c r="K718" t="s">
        <v>1189</v>
      </c>
      <c r="L718" s="5" t="str">
        <f>IF(COUNTIF(Sessions[SessionID],SessionMovements[[#This Row],[SessionID]])=0,"❌ Missing","✔ OK")</f>
        <v>✔ OK</v>
      </c>
    </row>
    <row r="719" spans="1:12" x14ac:dyDescent="0.3">
      <c r="A719" t="s">
        <v>1210</v>
      </c>
      <c r="B719" t="s">
        <v>539</v>
      </c>
      <c r="C719" t="str">
        <f>IF(SessionMovements[[#This Row],[MovementID]]="","",
   _xlfn.XLOOKUP(SessionMovements[[#This Row],[MovementID]],MovementLibrary[MovementID],MovementLibrary[Name],"")
)</f>
        <v>Hang Power Clean</v>
      </c>
      <c r="D719" s="5" t="str">
        <f>IF(SessionMovements[[#This Row],[MovementID]]="","",
   _xlfn.XLOOKUP(SessionMovements[[#This Row],[MovementID]], MovementLibrary[MovementID], MovementLibrary[Modality], "")
)</f>
        <v>Barbell</v>
      </c>
      <c r="E719" s="5" t="str">
        <f>IF(SessionMovements[[#This Row],[MovementID]]="","",
   _xlfn.XLOOKUP(SessionMovements[[#This Row],[MovementID]], MovementLibrary[MovementID], MovementLibrary[Unit], "")
)</f>
        <v>kg</v>
      </c>
      <c r="F7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19">
        <v>6</v>
      </c>
      <c r="H719">
        <v>2</v>
      </c>
      <c r="K719" t="s">
        <v>1191</v>
      </c>
      <c r="L719" s="5" t="str">
        <f>IF(COUNTIF(Sessions[SessionID],SessionMovements[[#This Row],[SessionID]])=0,"❌ Missing","✔ OK")</f>
        <v>✔ OK</v>
      </c>
    </row>
    <row r="720" spans="1:12" x14ac:dyDescent="0.3">
      <c r="A720" t="s">
        <v>1210</v>
      </c>
      <c r="B720" t="s">
        <v>537</v>
      </c>
      <c r="C720" t="str">
        <f>IF(SessionMovements[[#This Row],[MovementID]]="","",
   _xlfn.XLOOKUP(SessionMovements[[#This Row],[MovementID]],MovementLibrary[MovementID],MovementLibrary[Name],"")
)</f>
        <v>Clean Pull</v>
      </c>
      <c r="D720" s="5" t="str">
        <f>IF(SessionMovements[[#This Row],[MovementID]]="","",
   _xlfn.XLOOKUP(SessionMovements[[#This Row],[MovementID]], MovementLibrary[MovementID], MovementLibrary[Modality], "")
)</f>
        <v>Barbell</v>
      </c>
      <c r="E720" s="5" t="str">
        <f>IF(SessionMovements[[#This Row],[MovementID]]="","",
   _xlfn.XLOOKUP(SessionMovements[[#This Row],[MovementID]], MovementLibrary[MovementID], MovementLibrary[Unit], "")
)</f>
        <v>kg</v>
      </c>
      <c r="F7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0">
        <v>5</v>
      </c>
      <c r="H720">
        <v>3</v>
      </c>
      <c r="K720" t="s">
        <v>1192</v>
      </c>
      <c r="L720" s="5" t="str">
        <f>IF(COUNTIF(Sessions[SessionID],SessionMovements[[#This Row],[SessionID]])=0,"❌ Missing","✔ OK")</f>
        <v>✔ OK</v>
      </c>
    </row>
    <row r="721" spans="1:12" x14ac:dyDescent="0.3">
      <c r="A721" t="s">
        <v>1210</v>
      </c>
      <c r="B721" t="s">
        <v>723</v>
      </c>
      <c r="C721" t="str">
        <f>IF(SessionMovements[[#This Row],[MovementID]]="","",
   _xlfn.XLOOKUP(SessionMovements[[#This Row],[MovementID]],MovementLibrary[MovementID],MovementLibrary[Name],"")
)</f>
        <v>Nordic Hamstring Curl</v>
      </c>
      <c r="D721" s="5" t="str">
        <f>IF(SessionMovements[[#This Row],[MovementID]]="","",
   _xlfn.XLOOKUP(SessionMovements[[#This Row],[MovementID]], MovementLibrary[MovementID], MovementLibrary[Modality], "")
)</f>
        <v>Gymnastics</v>
      </c>
      <c r="E721" s="5" t="str">
        <f>IF(SessionMovements[[#This Row],[MovementID]]="","",
   _xlfn.XLOOKUP(SessionMovements[[#This Row],[MovementID]], MovementLibrary[MovementID], MovementLibrary[Unit], "")
)</f>
        <v>reps</v>
      </c>
      <c r="F7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1">
        <v>3</v>
      </c>
      <c r="H721">
        <v>6</v>
      </c>
      <c r="K721" t="s">
        <v>1126</v>
      </c>
      <c r="L721" s="5" t="str">
        <f>IF(COUNTIF(Sessions[SessionID],SessionMovements[[#This Row],[SessionID]])=0,"❌ Missing","✔ OK")</f>
        <v>✔ OK</v>
      </c>
    </row>
    <row r="722" spans="1:12" x14ac:dyDescent="0.3">
      <c r="A722" t="s">
        <v>1210</v>
      </c>
      <c r="B722" t="s">
        <v>711</v>
      </c>
      <c r="C722" t="str">
        <f>IF(SessionMovements[[#This Row],[MovementID]]="","",
   _xlfn.XLOOKUP(SessionMovements[[#This Row],[MovementID]],MovementLibrary[MovementID],MovementLibrary[Name],"")
)</f>
        <v>Ring Row</v>
      </c>
      <c r="D722" s="5" t="str">
        <f>IF(SessionMovements[[#This Row],[MovementID]]="","",
   _xlfn.XLOOKUP(SessionMovements[[#This Row],[MovementID]], MovementLibrary[MovementID], MovementLibrary[Modality], "")
)</f>
        <v>Gymnastics</v>
      </c>
      <c r="E722" s="5" t="str">
        <f>IF(SessionMovements[[#This Row],[MovementID]]="","",
   _xlfn.XLOOKUP(SessionMovements[[#This Row],[MovementID]], MovementLibrary[MovementID], MovementLibrary[Unit], "")
)</f>
        <v>reps</v>
      </c>
      <c r="F7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2">
        <v>3</v>
      </c>
      <c r="H722">
        <v>10</v>
      </c>
      <c r="L722" s="5" t="str">
        <f>IF(COUNTIF(Sessions[SessionID],SessionMovements[[#This Row],[SessionID]])=0,"❌ Missing","✔ OK")</f>
        <v>✔ OK</v>
      </c>
    </row>
    <row r="723" spans="1:12" x14ac:dyDescent="0.3">
      <c r="A723" t="s">
        <v>1210</v>
      </c>
      <c r="B723" t="s">
        <v>388</v>
      </c>
      <c r="C723" t="str">
        <f>IF(SessionMovements[[#This Row],[MovementID]]="","",
   _xlfn.XLOOKUP(SessionMovements[[#This Row],[MovementID]],MovementLibrary[MovementID],MovementLibrary[Name],"")
)</f>
        <v>Pull-Up</v>
      </c>
      <c r="D723" s="5" t="str">
        <f>IF(SessionMovements[[#This Row],[MovementID]]="","",
   _xlfn.XLOOKUP(SessionMovements[[#This Row],[MovementID]], MovementLibrary[MovementID], MovementLibrary[Modality], "")
)</f>
        <v>Gymnastics</v>
      </c>
      <c r="E723" s="5" t="str">
        <f>IF(SessionMovements[[#This Row],[MovementID]]="","",
   _xlfn.XLOOKUP(SessionMovements[[#This Row],[MovementID]], MovementLibrary[MovementID], MovementLibrary[Unit], "")
)</f>
        <v>reps</v>
      </c>
      <c r="F7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3">
        <v>3</v>
      </c>
      <c r="H723">
        <v>8</v>
      </c>
      <c r="J723">
        <v>10</v>
      </c>
      <c r="K723" t="s">
        <v>1128</v>
      </c>
      <c r="L723" s="5" t="str">
        <f>IF(COUNTIF(Sessions[SessionID],SessionMovements[[#This Row],[SessionID]])=0,"❌ Missing","✔ OK")</f>
        <v>✔ OK</v>
      </c>
    </row>
    <row r="724" spans="1:12" x14ac:dyDescent="0.3">
      <c r="A724" t="s">
        <v>1210</v>
      </c>
      <c r="B724" t="s">
        <v>530</v>
      </c>
      <c r="C724" t="str">
        <f>IF(SessionMovements[[#This Row],[MovementID]]="","",
   _xlfn.XLOOKUP(SessionMovements[[#This Row],[MovementID]],MovementLibrary[MovementID],MovementLibrary[Name],"")
)</f>
        <v>Hollow Hold</v>
      </c>
      <c r="D724" s="5" t="str">
        <f>IF(SessionMovements[[#This Row],[MovementID]]="","",
   _xlfn.XLOOKUP(SessionMovements[[#This Row],[MovementID]], MovementLibrary[MovementID], MovementLibrary[Modality], "")
)</f>
        <v>Gymnastics</v>
      </c>
      <c r="E724" s="5" t="str">
        <f>IF(SessionMovements[[#This Row],[MovementID]]="","",
   _xlfn.XLOOKUP(SessionMovements[[#This Row],[MovementID]], MovementLibrary[MovementID], MovementLibrary[Unit], "")
)</f>
        <v>sec</v>
      </c>
      <c r="F7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4">
        <v>3</v>
      </c>
      <c r="H724">
        <v>30</v>
      </c>
      <c r="J724">
        <v>86</v>
      </c>
      <c r="K724" t="s">
        <v>1193</v>
      </c>
      <c r="L724" s="5" t="str">
        <f>IF(COUNTIF(Sessions[SessionID],SessionMovements[[#This Row],[SessionID]])=0,"❌ Missing","✔ OK")</f>
        <v>✔ OK</v>
      </c>
    </row>
    <row r="725" spans="1:12" x14ac:dyDescent="0.3">
      <c r="A725" t="s">
        <v>1211</v>
      </c>
      <c r="B725" t="s">
        <v>260</v>
      </c>
      <c r="C725" t="str">
        <f>IF(SessionMovements[[#This Row],[MovementID]]="","",
   _xlfn.XLOOKUP(SessionMovements[[#This Row],[MovementID]],MovementLibrary[MovementID],MovementLibrary[Name],"")
)</f>
        <v>Snatch</v>
      </c>
      <c r="D725" s="5" t="str">
        <f>IF(SessionMovements[[#This Row],[MovementID]]="","",
   _xlfn.XLOOKUP(SessionMovements[[#This Row],[MovementID]], MovementLibrary[MovementID], MovementLibrary[Modality], "")
)</f>
        <v>Barbell</v>
      </c>
      <c r="E725" s="5" t="str">
        <f>IF(SessionMovements[[#This Row],[MovementID]]="","",
   _xlfn.XLOOKUP(SessionMovements[[#This Row],[MovementID]], MovementLibrary[MovementID], MovementLibrary[Unit], "")
)</f>
        <v>kg</v>
      </c>
      <c r="F7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5">
        <v>1</v>
      </c>
      <c r="H725">
        <v>1</v>
      </c>
      <c r="J725">
        <v>10</v>
      </c>
      <c r="K725" t="s">
        <v>1195</v>
      </c>
      <c r="L725" s="5" t="str">
        <f>IF(COUNTIF(Sessions[SessionID],SessionMovements[[#This Row],[SessionID]])=0,"❌ Missing","✔ OK")</f>
        <v>✔ OK</v>
      </c>
    </row>
    <row r="726" spans="1:12" x14ac:dyDescent="0.3">
      <c r="A726" t="s">
        <v>1211</v>
      </c>
      <c r="B726" t="s">
        <v>260</v>
      </c>
      <c r="C726" t="str">
        <f>IF(SessionMovements[[#This Row],[MovementID]]="","",
   _xlfn.XLOOKUP(SessionMovements[[#This Row],[MovementID]],MovementLibrary[MovementID],MovementLibrary[Name],"")
)</f>
        <v>Snatch</v>
      </c>
      <c r="D726" s="5" t="str">
        <f>IF(SessionMovements[[#This Row],[MovementID]]="","",
   _xlfn.XLOOKUP(SessionMovements[[#This Row],[MovementID]], MovementLibrary[MovementID], MovementLibrary[Modality], "")
)</f>
        <v>Barbell</v>
      </c>
      <c r="E726" s="5" t="str">
        <f>IF(SessionMovements[[#This Row],[MovementID]]="","",
   _xlfn.XLOOKUP(SessionMovements[[#This Row],[MovementID]], MovementLibrary[MovementID], MovementLibrary[Unit], "")
)</f>
        <v>kg</v>
      </c>
      <c r="F7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6">
        <v>5</v>
      </c>
      <c r="H726">
        <v>1</v>
      </c>
      <c r="J726">
        <v>89</v>
      </c>
      <c r="K726" t="s">
        <v>1196</v>
      </c>
      <c r="L726" s="5" t="str">
        <f>IF(COUNTIF(Sessions[SessionID],SessionMovements[[#This Row],[SessionID]])=0,"❌ Missing","✔ OK")</f>
        <v>✔ OK</v>
      </c>
    </row>
    <row r="727" spans="1:12" x14ac:dyDescent="0.3">
      <c r="A727" t="s">
        <v>1211</v>
      </c>
      <c r="B727" t="s">
        <v>261</v>
      </c>
      <c r="C727" t="str">
        <f>IF(SessionMovements[[#This Row],[MovementID]]="","",
   _xlfn.XLOOKUP(SessionMovements[[#This Row],[MovementID]],MovementLibrary[MovementID],MovementLibrary[Name],"")
)</f>
        <v>Clean &amp; Jerk</v>
      </c>
      <c r="D727" s="5" t="str">
        <f>IF(SessionMovements[[#This Row],[MovementID]]="","",
   _xlfn.XLOOKUP(SessionMovements[[#This Row],[MovementID]], MovementLibrary[MovementID], MovementLibrary[Modality], "")
)</f>
        <v>Barbell</v>
      </c>
      <c r="E727" s="5" t="str">
        <f>IF(SessionMovements[[#This Row],[MovementID]]="","",
   _xlfn.XLOOKUP(SessionMovements[[#This Row],[MovementID]], MovementLibrary[MovementID], MovementLibrary[Unit], "")
)</f>
        <v>kg</v>
      </c>
      <c r="F7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7">
        <v>1</v>
      </c>
      <c r="H727">
        <v>1</v>
      </c>
      <c r="K727" t="s">
        <v>1197</v>
      </c>
      <c r="L727" s="5" t="str">
        <f>IF(COUNTIF(Sessions[SessionID],SessionMovements[[#This Row],[SessionID]])=0,"❌ Missing","✔ OK")</f>
        <v>✔ OK</v>
      </c>
    </row>
    <row r="728" spans="1:12" x14ac:dyDescent="0.3">
      <c r="A728" t="s">
        <v>1211</v>
      </c>
      <c r="B728" t="s">
        <v>261</v>
      </c>
      <c r="C728" t="str">
        <f>IF(SessionMovements[[#This Row],[MovementID]]="","",
   _xlfn.XLOOKUP(SessionMovements[[#This Row],[MovementID]],MovementLibrary[MovementID],MovementLibrary[Name],"")
)</f>
        <v>Clean &amp; Jerk</v>
      </c>
      <c r="D728" s="5" t="str">
        <f>IF(SessionMovements[[#This Row],[MovementID]]="","",
   _xlfn.XLOOKUP(SessionMovements[[#This Row],[MovementID]], MovementLibrary[MovementID], MovementLibrary[Modality], "")
)</f>
        <v>Barbell</v>
      </c>
      <c r="E728" s="5" t="str">
        <f>IF(SessionMovements[[#This Row],[MovementID]]="","",
   _xlfn.XLOOKUP(SessionMovements[[#This Row],[MovementID]], MovementLibrary[MovementID], MovementLibrary[Unit], "")
)</f>
        <v>kg</v>
      </c>
      <c r="F7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8">
        <v>5</v>
      </c>
      <c r="H728">
        <v>1</v>
      </c>
      <c r="J728">
        <v>65</v>
      </c>
      <c r="K728" t="s">
        <v>1198</v>
      </c>
      <c r="L728" s="5" t="str">
        <f>IF(COUNTIF(Sessions[SessionID],SessionMovements[[#This Row],[SessionID]])=0,"❌ Missing","✔ OK")</f>
        <v>✔ OK</v>
      </c>
    </row>
    <row r="729" spans="1:12" x14ac:dyDescent="0.3">
      <c r="A729" t="s">
        <v>1211</v>
      </c>
      <c r="B729" t="s">
        <v>726</v>
      </c>
      <c r="C729" t="str">
        <f>IF(SessionMovements[[#This Row],[MovementID]]="","",
   _xlfn.XLOOKUP(SessionMovements[[#This Row],[MovementID]],MovementLibrary[MovementID],MovementLibrary[Name],"")
)</f>
        <v>Pause Overhead Squat (2s)</v>
      </c>
      <c r="D729" s="5" t="str">
        <f>IF(SessionMovements[[#This Row],[MovementID]]="","",
   _xlfn.XLOOKUP(SessionMovements[[#This Row],[MovementID]], MovementLibrary[MovementID], MovementLibrary[Modality], "")
)</f>
        <v>Barbell</v>
      </c>
      <c r="E729" s="5" t="str">
        <f>IF(SessionMovements[[#This Row],[MovementID]]="","",
   _xlfn.XLOOKUP(SessionMovements[[#This Row],[MovementID]], MovementLibrary[MovementID], MovementLibrary[Unit], "")
)</f>
        <v>kg</v>
      </c>
      <c r="F7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29">
        <v>4</v>
      </c>
      <c r="H729">
        <v>2</v>
      </c>
      <c r="K729" t="s">
        <v>1199</v>
      </c>
      <c r="L729" s="5" t="str">
        <f>IF(COUNTIF(Sessions[SessionID],SessionMovements[[#This Row],[SessionID]])=0,"❌ Missing","✔ OK")</f>
        <v>✔ OK</v>
      </c>
    </row>
    <row r="730" spans="1:12" x14ac:dyDescent="0.3">
      <c r="A730" t="s">
        <v>1211</v>
      </c>
      <c r="B730" t="s">
        <v>298</v>
      </c>
      <c r="C730" t="str">
        <f>IF(SessionMovements[[#This Row],[MovementID]]="","",
   _xlfn.XLOOKUP(SessionMovements[[#This Row],[MovementID]],MovementLibrary[MovementID],MovementLibrary[Name],"")
)</f>
        <v>Back Squat</v>
      </c>
      <c r="D730" s="5" t="str">
        <f>IF(SessionMovements[[#This Row],[MovementID]]="","",
   _xlfn.XLOOKUP(SessionMovements[[#This Row],[MovementID]], MovementLibrary[MovementID], MovementLibrary[Modality], "")
)</f>
        <v>Barbell</v>
      </c>
      <c r="E730" s="5" t="str">
        <f>IF(SessionMovements[[#This Row],[MovementID]]="","",
   _xlfn.XLOOKUP(SessionMovements[[#This Row],[MovementID]], MovementLibrary[MovementID], MovementLibrary[Unit], "")
)</f>
        <v>kg</v>
      </c>
      <c r="F7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0">
        <v>3</v>
      </c>
      <c r="H730">
        <v>8</v>
      </c>
      <c r="L730" s="5" t="str">
        <f>IF(COUNTIF(Sessions[SessionID],SessionMovements[[#This Row],[SessionID]])=0,"❌ Missing","✔ OK")</f>
        <v>✔ OK</v>
      </c>
    </row>
    <row r="731" spans="1:12" x14ac:dyDescent="0.3">
      <c r="A731" t="s">
        <v>1211</v>
      </c>
      <c r="B731" t="s">
        <v>720</v>
      </c>
      <c r="C731" t="str">
        <f>IF(SessionMovements[[#This Row],[MovementID]]="","",
   _xlfn.XLOOKUP(SessionMovements[[#This Row],[MovementID]],MovementLibrary[MovementID],MovementLibrary[Name],"")
)</f>
        <v>Barbell Lunge</v>
      </c>
      <c r="D731" s="5" t="str">
        <f>IF(SessionMovements[[#This Row],[MovementID]]="","",
   _xlfn.XLOOKUP(SessionMovements[[#This Row],[MovementID]], MovementLibrary[MovementID], MovementLibrary[Modality], "")
)</f>
        <v>Barbell</v>
      </c>
      <c r="E731" s="5" t="str">
        <f>IF(SessionMovements[[#This Row],[MovementID]]="","",
   _xlfn.XLOOKUP(SessionMovements[[#This Row],[MovementID]], MovementLibrary[MovementID], MovementLibrary[Unit], "")
)</f>
        <v>kg</v>
      </c>
      <c r="F7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1">
        <v>3</v>
      </c>
      <c r="H731">
        <v>12</v>
      </c>
      <c r="K731" t="s">
        <v>1200</v>
      </c>
      <c r="L731" s="5" t="str">
        <f>IF(COUNTIF(Sessions[SessionID],SessionMovements[[#This Row],[SessionID]])=0,"❌ Missing","✔ OK")</f>
        <v>✔ OK</v>
      </c>
    </row>
    <row r="732" spans="1:12" x14ac:dyDescent="0.3">
      <c r="A732" t="s">
        <v>1211</v>
      </c>
      <c r="B732" t="s">
        <v>428</v>
      </c>
      <c r="C732" t="str">
        <f>IF(SessionMovements[[#This Row],[MovementID]]="","",
   _xlfn.XLOOKUP(SessionMovements[[#This Row],[MovementID]],MovementLibrary[MovementID],MovementLibrary[Name],"")
)</f>
        <v>AbMat Sit-Up</v>
      </c>
      <c r="D732" s="5" t="str">
        <f>IF(SessionMovements[[#This Row],[MovementID]]="","",
   _xlfn.XLOOKUP(SessionMovements[[#This Row],[MovementID]], MovementLibrary[MovementID], MovementLibrary[Modality], "")
)</f>
        <v>Gymnastics</v>
      </c>
      <c r="E732" s="5" t="str">
        <f>IF(SessionMovements[[#This Row],[MovementID]]="","",
   _xlfn.XLOOKUP(SessionMovements[[#This Row],[MovementID]], MovementLibrary[MovementID], MovementLibrary[Unit], "")
)</f>
        <v>reps</v>
      </c>
      <c r="F7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2">
        <v>3</v>
      </c>
      <c r="H732">
        <v>20</v>
      </c>
      <c r="K732" t="s">
        <v>1201</v>
      </c>
      <c r="L732" s="5" t="str">
        <f>IF(COUNTIF(Sessions[SessionID],SessionMovements[[#This Row],[SessionID]])=0,"❌ Missing","✔ OK")</f>
        <v>✔ OK</v>
      </c>
    </row>
    <row r="733" spans="1:12" x14ac:dyDescent="0.3">
      <c r="A733" t="s">
        <v>1212</v>
      </c>
      <c r="B733" t="s">
        <v>541</v>
      </c>
      <c r="C733" t="str">
        <f>IF(SessionMovements[[#This Row],[MovementID]]="","",
   _xlfn.XLOOKUP(SessionMovements[[#This Row],[MovementID]],MovementLibrary[MovementID],MovementLibrary[Name],"")
)</f>
        <v>Hang Power Snatch</v>
      </c>
      <c r="D733" s="5" t="str">
        <f>IF(SessionMovements[[#This Row],[MovementID]]="","",
   _xlfn.XLOOKUP(SessionMovements[[#This Row],[MovementID]], MovementLibrary[MovementID], MovementLibrary[Modality], "")
)</f>
        <v>Barbell</v>
      </c>
      <c r="E733" s="5" t="str">
        <f>IF(SessionMovements[[#This Row],[MovementID]]="","",
   _xlfn.XLOOKUP(SessionMovements[[#This Row],[MovementID]], MovementLibrary[MovementID], MovementLibrary[Unit], "")
)</f>
        <v>kg</v>
      </c>
      <c r="F7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3">
        <v>6</v>
      </c>
      <c r="H733">
        <v>2</v>
      </c>
      <c r="K733" t="s">
        <v>1137</v>
      </c>
      <c r="L733" s="5" t="str">
        <f>IF(COUNTIF(Sessions[SessionID],SessionMovements[[#This Row],[SessionID]])=0,"❌ Missing","✔ OK")</f>
        <v>✔ OK</v>
      </c>
    </row>
    <row r="734" spans="1:12" x14ac:dyDescent="0.3">
      <c r="A734" t="s">
        <v>1212</v>
      </c>
      <c r="B734" t="s">
        <v>534</v>
      </c>
      <c r="C734" t="str">
        <f>IF(SessionMovements[[#This Row],[MovementID]]="","",
   _xlfn.XLOOKUP(SessionMovements[[#This Row],[MovementID]],MovementLibrary[MovementID],MovementLibrary[Name],"")
)</f>
        <v>Snatch Pull</v>
      </c>
      <c r="D734" s="5" t="str">
        <f>IF(SessionMovements[[#This Row],[MovementID]]="","",
   _xlfn.XLOOKUP(SessionMovements[[#This Row],[MovementID]], MovementLibrary[MovementID], MovementLibrary[Modality], "")
)</f>
        <v>Barbell</v>
      </c>
      <c r="E734" s="5" t="str">
        <f>IF(SessionMovements[[#This Row],[MovementID]]="","",
   _xlfn.XLOOKUP(SessionMovements[[#This Row],[MovementID]], MovementLibrary[MovementID], MovementLibrary[Unit], "")
)</f>
        <v>kg</v>
      </c>
      <c r="F7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4">
        <v>5</v>
      </c>
      <c r="H734">
        <v>3</v>
      </c>
      <c r="K734" t="s">
        <v>1138</v>
      </c>
      <c r="L734" s="5" t="str">
        <f>IF(COUNTIF(Sessions[SessionID],SessionMovements[[#This Row],[SessionID]])=0,"❌ Missing","✔ OK")</f>
        <v>✔ OK</v>
      </c>
    </row>
    <row r="735" spans="1:12" x14ac:dyDescent="0.3">
      <c r="A735" t="s">
        <v>1212</v>
      </c>
      <c r="B735" t="s">
        <v>314</v>
      </c>
      <c r="C735" t="str">
        <f>IF(SessionMovements[[#This Row],[MovementID]]="","",
   _xlfn.XLOOKUP(SessionMovements[[#This Row],[MovementID]],MovementLibrary[MovementID],MovementLibrary[Name],"")
)</f>
        <v>Floor Press</v>
      </c>
      <c r="D735" s="5" t="str">
        <f>IF(SessionMovements[[#This Row],[MovementID]]="","",
   _xlfn.XLOOKUP(SessionMovements[[#This Row],[MovementID]], MovementLibrary[MovementID], MovementLibrary[Modality], "")
)</f>
        <v>Barbell</v>
      </c>
      <c r="E735" s="5" t="str">
        <f>IF(SessionMovements[[#This Row],[MovementID]]="","",
   _xlfn.XLOOKUP(SessionMovements[[#This Row],[MovementID]], MovementLibrary[MovementID], MovementLibrary[Unit], "")
)</f>
        <v>kg</v>
      </c>
      <c r="F7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5">
        <v>5</v>
      </c>
      <c r="H735">
        <v>10</v>
      </c>
      <c r="L735" s="5" t="str">
        <f>IF(COUNTIF(Sessions[SessionID],SessionMovements[[#This Row],[SessionID]])=0,"❌ Missing","✔ OK")</f>
        <v>✔ OK</v>
      </c>
    </row>
    <row r="736" spans="1:12" x14ac:dyDescent="0.3">
      <c r="A736" t="s">
        <v>1212</v>
      </c>
      <c r="B736" t="s">
        <v>711</v>
      </c>
      <c r="C736" t="str">
        <f>IF(SessionMovements[[#This Row],[MovementID]]="","",
   _xlfn.XLOOKUP(SessionMovements[[#This Row],[MovementID]],MovementLibrary[MovementID],MovementLibrary[Name],"")
)</f>
        <v>Ring Row</v>
      </c>
      <c r="D736" s="5" t="str">
        <f>IF(SessionMovements[[#This Row],[MovementID]]="","",
   _xlfn.XLOOKUP(SessionMovements[[#This Row],[MovementID]], MovementLibrary[MovementID], MovementLibrary[Modality], "")
)</f>
        <v>Gymnastics</v>
      </c>
      <c r="E736" s="5" t="str">
        <f>IF(SessionMovements[[#This Row],[MovementID]]="","",
   _xlfn.XLOOKUP(SessionMovements[[#This Row],[MovementID]], MovementLibrary[MovementID], MovementLibrary[Unit], "")
)</f>
        <v>reps</v>
      </c>
      <c r="F7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6">
        <v>5</v>
      </c>
      <c r="H736">
        <v>10</v>
      </c>
      <c r="K736" t="s">
        <v>1177</v>
      </c>
      <c r="L736" s="5" t="str">
        <f>IF(COUNTIF(Sessions[SessionID],SessionMovements[[#This Row],[SessionID]])=0,"❌ Missing","✔ OK")</f>
        <v>✔ OK</v>
      </c>
    </row>
    <row r="737" spans="1:12" x14ac:dyDescent="0.3">
      <c r="A737" t="s">
        <v>1212</v>
      </c>
      <c r="B737" t="s">
        <v>530</v>
      </c>
      <c r="C737" t="str">
        <f>IF(SessionMovements[[#This Row],[MovementID]]="","",
   _xlfn.XLOOKUP(SessionMovements[[#This Row],[MovementID]],MovementLibrary[MovementID],MovementLibrary[Name],"")
)</f>
        <v>Hollow Hold</v>
      </c>
      <c r="D737" s="5" t="str">
        <f>IF(SessionMovements[[#This Row],[MovementID]]="","",
   _xlfn.XLOOKUP(SessionMovements[[#This Row],[MovementID]], MovementLibrary[MovementID], MovementLibrary[Modality], "")
)</f>
        <v>Gymnastics</v>
      </c>
      <c r="E737" s="5" t="str">
        <f>IF(SessionMovements[[#This Row],[MovementID]]="","",
   _xlfn.XLOOKUP(SessionMovements[[#This Row],[MovementID]], MovementLibrary[MovementID], MovementLibrary[Unit], "")
)</f>
        <v>sec</v>
      </c>
      <c r="F7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7">
        <v>3</v>
      </c>
      <c r="H737">
        <v>30</v>
      </c>
      <c r="J737">
        <v>68</v>
      </c>
      <c r="K737" t="s">
        <v>1178</v>
      </c>
      <c r="L737" s="5" t="str">
        <f>IF(COUNTIF(Sessions[SessionID],SessionMovements[[#This Row],[SessionID]])=0,"❌ Missing","✔ OK")</f>
        <v>✔ OK</v>
      </c>
    </row>
    <row r="738" spans="1:12" x14ac:dyDescent="0.3">
      <c r="A738" t="s">
        <v>1213</v>
      </c>
      <c r="B738" t="s">
        <v>258</v>
      </c>
      <c r="C738" t="str">
        <f>IF(SessionMovements[[#This Row],[MovementID]]="","",
   _xlfn.XLOOKUP(SessionMovements[[#This Row],[MovementID]],MovementLibrary[MovementID],MovementLibrary[Name],"")
)</f>
        <v>Overhead Squat</v>
      </c>
      <c r="D738" s="5" t="str">
        <f>IF(SessionMovements[[#This Row],[MovementID]]="","",
   _xlfn.XLOOKUP(SessionMovements[[#This Row],[MovementID]], MovementLibrary[MovementID], MovementLibrary[Modality], "")
)</f>
        <v>Barbell</v>
      </c>
      <c r="E738" s="5" t="str">
        <f>IF(SessionMovements[[#This Row],[MovementID]]="","",
   _xlfn.XLOOKUP(SessionMovements[[#This Row],[MovementID]], MovementLibrary[MovementID], MovementLibrary[Unit], "")
)</f>
        <v>kg</v>
      </c>
      <c r="F7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8">
        <v>4</v>
      </c>
      <c r="H738">
        <v>5</v>
      </c>
      <c r="K738" t="s">
        <v>1180</v>
      </c>
      <c r="L738" s="5" t="str">
        <f>IF(COUNTIF(Sessions[SessionID],SessionMovements[[#This Row],[SessionID]])=0,"❌ Missing","✔ OK")</f>
        <v>✔ OK</v>
      </c>
    </row>
    <row r="739" spans="1:12" x14ac:dyDescent="0.3">
      <c r="A739" t="s">
        <v>1213</v>
      </c>
      <c r="B739" t="s">
        <v>298</v>
      </c>
      <c r="C739" t="str">
        <f>IF(SessionMovements[[#This Row],[MovementID]]="","",
   _xlfn.XLOOKUP(SessionMovements[[#This Row],[MovementID]],MovementLibrary[MovementID],MovementLibrary[Name],"")
)</f>
        <v>Back Squat</v>
      </c>
      <c r="D739" s="5" t="str">
        <f>IF(SessionMovements[[#This Row],[MovementID]]="","",
   _xlfn.XLOOKUP(SessionMovements[[#This Row],[MovementID]], MovementLibrary[MovementID], MovementLibrary[Modality], "")
)</f>
        <v>Barbell</v>
      </c>
      <c r="E739" s="5" t="str">
        <f>IF(SessionMovements[[#This Row],[MovementID]]="","",
   _xlfn.XLOOKUP(SessionMovements[[#This Row],[MovementID]], MovementLibrary[MovementID], MovementLibrary[Unit], "")
)</f>
        <v>kg</v>
      </c>
      <c r="F7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39">
        <v>3</v>
      </c>
      <c r="H739">
        <v>10</v>
      </c>
      <c r="K739" t="s">
        <v>1181</v>
      </c>
      <c r="L739" s="5" t="str">
        <f>IF(COUNTIF(Sessions[SessionID],SessionMovements[[#This Row],[SessionID]])=0,"❌ Missing","✔ OK")</f>
        <v>✔ OK</v>
      </c>
    </row>
    <row r="740" spans="1:12" x14ac:dyDescent="0.3">
      <c r="A740" t="s">
        <v>1213</v>
      </c>
      <c r="B740" t="s">
        <v>309</v>
      </c>
      <c r="C740" t="str">
        <f>IF(SessionMovements[[#This Row],[MovementID]]="","",
   _xlfn.XLOOKUP(SessionMovements[[#This Row],[MovementID]],MovementLibrary[MovementID],MovementLibrary[Name],"")
)</f>
        <v>Romanian Deadlift</v>
      </c>
      <c r="D740" s="5" t="str">
        <f>IF(SessionMovements[[#This Row],[MovementID]]="","",
   _xlfn.XLOOKUP(SessionMovements[[#This Row],[MovementID]], MovementLibrary[MovementID], MovementLibrary[Modality], "")
)</f>
        <v>Barbell</v>
      </c>
      <c r="E740" s="5" t="str">
        <f>IF(SessionMovements[[#This Row],[MovementID]]="","",
   _xlfn.XLOOKUP(SessionMovements[[#This Row],[MovementID]], MovementLibrary[MovementID], MovementLibrary[Unit], "")
)</f>
        <v>kg</v>
      </c>
      <c r="F7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0">
        <v>4</v>
      </c>
      <c r="H740">
        <v>8</v>
      </c>
      <c r="K740" t="s">
        <v>1182</v>
      </c>
      <c r="L740" s="5" t="str">
        <f>IF(COUNTIF(Sessions[SessionID],SessionMovements[[#This Row],[SessionID]])=0,"❌ Missing","✔ OK")</f>
        <v>✔ OK</v>
      </c>
    </row>
    <row r="741" spans="1:12" x14ac:dyDescent="0.3">
      <c r="A741" t="s">
        <v>1213</v>
      </c>
      <c r="B741" t="s">
        <v>720</v>
      </c>
      <c r="C741" t="str">
        <f>IF(SessionMovements[[#This Row],[MovementID]]="","",
   _xlfn.XLOOKUP(SessionMovements[[#This Row],[MovementID]],MovementLibrary[MovementID],MovementLibrary[Name],"")
)</f>
        <v>Barbell Lunge</v>
      </c>
      <c r="D741" s="5" t="str">
        <f>IF(SessionMovements[[#This Row],[MovementID]]="","",
   _xlfn.XLOOKUP(SessionMovements[[#This Row],[MovementID]], MovementLibrary[MovementID], MovementLibrary[Modality], "")
)</f>
        <v>Barbell</v>
      </c>
      <c r="E741" s="5" t="str">
        <f>IF(SessionMovements[[#This Row],[MovementID]]="","",
   _xlfn.XLOOKUP(SessionMovements[[#This Row],[MovementID]], MovementLibrary[MovementID], MovementLibrary[Unit], "")
)</f>
        <v>kg</v>
      </c>
      <c r="F7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1">
        <v>4</v>
      </c>
      <c r="H741">
        <v>10</v>
      </c>
      <c r="L741" s="5" t="str">
        <f>IF(COUNTIF(Sessions[SessionID],SessionMovements[[#This Row],[SessionID]])=0,"❌ Missing","✔ OK")</f>
        <v>✔ OK</v>
      </c>
    </row>
    <row r="742" spans="1:12" x14ac:dyDescent="0.3">
      <c r="A742" t="s">
        <v>1213</v>
      </c>
      <c r="B742" t="s">
        <v>717</v>
      </c>
      <c r="C742" t="str">
        <f>IF(SessionMovements[[#This Row],[MovementID]]="","",
   _xlfn.XLOOKUP(SessionMovements[[#This Row],[MovementID]],MovementLibrary[MovementID],MovementLibrary[Name],"")
)</f>
        <v>Broad Jump</v>
      </c>
      <c r="D742" s="5" t="str">
        <f>IF(SessionMovements[[#This Row],[MovementID]]="","",
   _xlfn.XLOOKUP(SessionMovements[[#This Row],[MovementID]], MovementLibrary[MovementID], MovementLibrary[Modality], "")
)</f>
        <v>Plyometric</v>
      </c>
      <c r="E742" s="5" t="str">
        <f>IF(SessionMovements[[#This Row],[MovementID]]="","",
   _xlfn.XLOOKUP(SessionMovements[[#This Row],[MovementID]], MovementLibrary[MovementID], MovementLibrary[Unit], "")
)</f>
        <v>reps</v>
      </c>
      <c r="F7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2">
        <v>4</v>
      </c>
      <c r="H742">
        <v>3</v>
      </c>
      <c r="K742" t="s">
        <v>1183</v>
      </c>
      <c r="L742" s="5" t="str">
        <f>IF(COUNTIF(Sessions[SessionID],SessionMovements[[#This Row],[SessionID]])=0,"❌ Missing","✔ OK")</f>
        <v>✔ OK</v>
      </c>
    </row>
    <row r="743" spans="1:12" x14ac:dyDescent="0.3">
      <c r="A743" t="s">
        <v>1213</v>
      </c>
      <c r="B743" t="s">
        <v>428</v>
      </c>
      <c r="C743" t="str">
        <f>IF(SessionMovements[[#This Row],[MovementID]]="","",
   _xlfn.XLOOKUP(SessionMovements[[#This Row],[MovementID]],MovementLibrary[MovementID],MovementLibrary[Name],"")
)</f>
        <v>AbMat Sit-Up</v>
      </c>
      <c r="D743" s="5" t="str">
        <f>IF(SessionMovements[[#This Row],[MovementID]]="","",
   _xlfn.XLOOKUP(SessionMovements[[#This Row],[MovementID]], MovementLibrary[MovementID], MovementLibrary[Modality], "")
)</f>
        <v>Gymnastics</v>
      </c>
      <c r="E743" s="5" t="str">
        <f>IF(SessionMovements[[#This Row],[MovementID]]="","",
   _xlfn.XLOOKUP(SessionMovements[[#This Row],[MovementID]], MovementLibrary[MovementID], MovementLibrary[Unit], "")
)</f>
        <v>reps</v>
      </c>
      <c r="F7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3">
        <v>3</v>
      </c>
      <c r="H743">
        <v>20</v>
      </c>
      <c r="K743" t="s">
        <v>1184</v>
      </c>
      <c r="L743" s="5" t="str">
        <f>IF(COUNTIF(Sessions[SessionID],SessionMovements[[#This Row],[SessionID]])=0,"❌ Missing","✔ OK")</f>
        <v>✔ OK</v>
      </c>
    </row>
    <row r="744" spans="1:12" x14ac:dyDescent="0.3">
      <c r="A744" t="s">
        <v>1214</v>
      </c>
      <c r="B744" t="s">
        <v>290</v>
      </c>
      <c r="C744" t="str">
        <f>IF(SessionMovements[[#This Row],[MovementID]]="","",
   _xlfn.XLOOKUP(SessionMovements[[#This Row],[MovementID]],MovementLibrary[MovementID],MovementLibrary[Name],"")
)</f>
        <v>Push Jerk</v>
      </c>
      <c r="D744" s="5" t="str">
        <f>IF(SessionMovements[[#This Row],[MovementID]]="","",
   _xlfn.XLOOKUP(SessionMovements[[#This Row],[MovementID]], MovementLibrary[MovementID], MovementLibrary[Modality], "")
)</f>
        <v>Barbell</v>
      </c>
      <c r="E744" s="5" t="str">
        <f>IF(SessionMovements[[#This Row],[MovementID]]="","",
   _xlfn.XLOOKUP(SessionMovements[[#This Row],[MovementID]], MovementLibrary[MovementID], MovementLibrary[Unit], "")
)</f>
        <v>kg</v>
      </c>
      <c r="F7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4">
        <v>6</v>
      </c>
      <c r="H744">
        <v>2</v>
      </c>
      <c r="K744" t="s">
        <v>1186</v>
      </c>
      <c r="L744" s="5" t="str">
        <f>IF(COUNTIF(Sessions[SessionID],SessionMovements[[#This Row],[SessionID]])=0,"❌ Missing","✔ OK")</f>
        <v>✔ OK</v>
      </c>
    </row>
    <row r="745" spans="1:12" x14ac:dyDescent="0.3">
      <c r="A745" t="s">
        <v>1214</v>
      </c>
      <c r="B745" t="s">
        <v>262</v>
      </c>
      <c r="C745" t="str">
        <f>IF(SessionMovements[[#This Row],[MovementID]]="","",
   _xlfn.XLOOKUP(SessionMovements[[#This Row],[MovementID]],MovementLibrary[MovementID],MovementLibrary[Name],"")
)</f>
        <v>Strict Press</v>
      </c>
      <c r="D745" s="5" t="str">
        <f>IF(SessionMovements[[#This Row],[MovementID]]="","",
   _xlfn.XLOOKUP(SessionMovements[[#This Row],[MovementID]], MovementLibrary[MovementID], MovementLibrary[Modality], "")
)</f>
        <v>Barbell</v>
      </c>
      <c r="E745" s="5" t="str">
        <f>IF(SessionMovements[[#This Row],[MovementID]]="","",
   _xlfn.XLOOKUP(SessionMovements[[#This Row],[MovementID]], MovementLibrary[MovementID], MovementLibrary[Unit], "")
)</f>
        <v>kg</v>
      </c>
      <c r="F7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5">
        <v>5</v>
      </c>
      <c r="H745">
        <v>5</v>
      </c>
      <c r="K745" t="s">
        <v>1187</v>
      </c>
      <c r="L745" s="5" t="str">
        <f>IF(COUNTIF(Sessions[SessionID],SessionMovements[[#This Row],[SessionID]])=0,"❌ Missing","✔ OK")</f>
        <v>✔ OK</v>
      </c>
    </row>
    <row r="746" spans="1:12" x14ac:dyDescent="0.3">
      <c r="A746" t="s">
        <v>1214</v>
      </c>
      <c r="B746" t="s">
        <v>441</v>
      </c>
      <c r="C746" t="str">
        <f>IF(SessionMovements[[#This Row],[MovementID]]="","",
   _xlfn.XLOOKUP(SessionMovements[[#This Row],[MovementID]],MovementLibrary[MovementID],MovementLibrary[Name],"")
)</f>
        <v>Ring Dip</v>
      </c>
      <c r="D746" s="5" t="str">
        <f>IF(SessionMovements[[#This Row],[MovementID]]="","",
   _xlfn.XLOOKUP(SessionMovements[[#This Row],[MovementID]], MovementLibrary[MovementID], MovementLibrary[Modality], "")
)</f>
        <v>Gymnastics</v>
      </c>
      <c r="E746" s="5" t="str">
        <f>IF(SessionMovements[[#This Row],[MovementID]]="","",
   _xlfn.XLOOKUP(SessionMovements[[#This Row],[MovementID]], MovementLibrary[MovementID], MovementLibrary[Unit], "")
)</f>
        <v>reps</v>
      </c>
      <c r="F7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6">
        <v>4</v>
      </c>
      <c r="H746">
        <v>8</v>
      </c>
      <c r="L746" s="5" t="str">
        <f>IF(COUNTIF(Sessions[SessionID],SessionMovements[[#This Row],[SessionID]])=0,"❌ Missing","✔ OK")</f>
        <v>✔ OK</v>
      </c>
    </row>
    <row r="747" spans="1:12" x14ac:dyDescent="0.3">
      <c r="A747" t="s">
        <v>1214</v>
      </c>
      <c r="B747" t="s">
        <v>256</v>
      </c>
      <c r="C747" t="str">
        <f>IF(SessionMovements[[#This Row],[MovementID]]="","",
   _xlfn.XLOOKUP(SessionMovements[[#This Row],[MovementID]],MovementLibrary[MovementID],MovementLibrary[Name],"")
)</f>
        <v>Bench Press</v>
      </c>
      <c r="D747" s="5" t="str">
        <f>IF(SessionMovements[[#This Row],[MovementID]]="","",
   _xlfn.XLOOKUP(SessionMovements[[#This Row],[MovementID]], MovementLibrary[MovementID], MovementLibrary[Modality], "")
)</f>
        <v>Barbell</v>
      </c>
      <c r="E747" s="5" t="str">
        <f>IF(SessionMovements[[#This Row],[MovementID]]="","",
   _xlfn.XLOOKUP(SessionMovements[[#This Row],[MovementID]], MovementLibrary[MovementID], MovementLibrary[Unit], "")
)</f>
        <v>kg</v>
      </c>
      <c r="F7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7">
        <v>4</v>
      </c>
      <c r="H747">
        <v>10</v>
      </c>
      <c r="K747" t="s">
        <v>1188</v>
      </c>
      <c r="L747" s="5" t="str">
        <f>IF(COUNTIF(Sessions[SessionID],SessionMovements[[#This Row],[SessionID]])=0,"❌ Missing","✔ OK")</f>
        <v>✔ OK</v>
      </c>
    </row>
    <row r="748" spans="1:12" x14ac:dyDescent="0.3">
      <c r="A748" t="s">
        <v>1214</v>
      </c>
      <c r="B748" t="s">
        <v>437</v>
      </c>
      <c r="C748" t="str">
        <f>IF(SessionMovements[[#This Row],[MovementID]]="","",
   _xlfn.XLOOKUP(SessionMovements[[#This Row],[MovementID]],MovementLibrary[MovementID],MovementLibrary[Name],"")
)</f>
        <v>Plank Hold</v>
      </c>
      <c r="D748" s="5" t="str">
        <f>IF(SessionMovements[[#This Row],[MovementID]]="","",
   _xlfn.XLOOKUP(SessionMovements[[#This Row],[MovementID]], MovementLibrary[MovementID], MovementLibrary[Modality], "")
)</f>
        <v>Gymnastics</v>
      </c>
      <c r="E748" s="5" t="str">
        <f>IF(SessionMovements[[#This Row],[MovementID]]="","",
   _xlfn.XLOOKUP(SessionMovements[[#This Row],[MovementID]], MovementLibrary[MovementID], MovementLibrary[Unit], "")
)</f>
        <v>sec</v>
      </c>
      <c r="F7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8">
        <v>3</v>
      </c>
      <c r="H748">
        <v>40</v>
      </c>
      <c r="K748" t="s">
        <v>1189</v>
      </c>
      <c r="L748" s="5" t="str">
        <f>IF(COUNTIF(Sessions[SessionID],SessionMovements[[#This Row],[SessionID]])=0,"❌ Missing","✔ OK")</f>
        <v>✔ OK</v>
      </c>
    </row>
    <row r="749" spans="1:12" x14ac:dyDescent="0.3">
      <c r="A749" t="s">
        <v>1215</v>
      </c>
      <c r="B749" t="s">
        <v>539</v>
      </c>
      <c r="C749" t="str">
        <f>IF(SessionMovements[[#This Row],[MovementID]]="","",
   _xlfn.XLOOKUP(SessionMovements[[#This Row],[MovementID]],MovementLibrary[MovementID],MovementLibrary[Name],"")
)</f>
        <v>Hang Power Clean</v>
      </c>
      <c r="D749" s="5" t="str">
        <f>IF(SessionMovements[[#This Row],[MovementID]]="","",
   _xlfn.XLOOKUP(SessionMovements[[#This Row],[MovementID]], MovementLibrary[MovementID], MovementLibrary[Modality], "")
)</f>
        <v>Barbell</v>
      </c>
      <c r="E749" s="5" t="str">
        <f>IF(SessionMovements[[#This Row],[MovementID]]="","",
   _xlfn.XLOOKUP(SessionMovements[[#This Row],[MovementID]], MovementLibrary[MovementID], MovementLibrary[Unit], "")
)</f>
        <v>kg</v>
      </c>
      <c r="F7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49">
        <v>6</v>
      </c>
      <c r="H749">
        <v>2</v>
      </c>
      <c r="K749" t="s">
        <v>1191</v>
      </c>
      <c r="L749" s="5" t="str">
        <f>IF(COUNTIF(Sessions[SessionID],SessionMovements[[#This Row],[SessionID]])=0,"❌ Missing","✔ OK")</f>
        <v>✔ OK</v>
      </c>
    </row>
    <row r="750" spans="1:12" x14ac:dyDescent="0.3">
      <c r="A750" t="s">
        <v>1215</v>
      </c>
      <c r="B750" t="s">
        <v>537</v>
      </c>
      <c r="C750" t="str">
        <f>IF(SessionMovements[[#This Row],[MovementID]]="","",
   _xlfn.XLOOKUP(SessionMovements[[#This Row],[MovementID]],MovementLibrary[MovementID],MovementLibrary[Name],"")
)</f>
        <v>Clean Pull</v>
      </c>
      <c r="D750" s="5" t="str">
        <f>IF(SessionMovements[[#This Row],[MovementID]]="","",
   _xlfn.XLOOKUP(SessionMovements[[#This Row],[MovementID]], MovementLibrary[MovementID], MovementLibrary[Modality], "")
)</f>
        <v>Barbell</v>
      </c>
      <c r="E750" s="5" t="str">
        <f>IF(SessionMovements[[#This Row],[MovementID]]="","",
   _xlfn.XLOOKUP(SessionMovements[[#This Row],[MovementID]], MovementLibrary[MovementID], MovementLibrary[Unit], "")
)</f>
        <v>kg</v>
      </c>
      <c r="F7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0">
        <v>5</v>
      </c>
      <c r="H750">
        <v>3</v>
      </c>
      <c r="K750" t="s">
        <v>1192</v>
      </c>
      <c r="L750" s="5" t="str">
        <f>IF(COUNTIF(Sessions[SessionID],SessionMovements[[#This Row],[SessionID]])=0,"❌ Missing","✔ OK")</f>
        <v>✔ OK</v>
      </c>
    </row>
    <row r="751" spans="1:12" x14ac:dyDescent="0.3">
      <c r="A751" t="s">
        <v>1215</v>
      </c>
      <c r="B751" t="s">
        <v>723</v>
      </c>
      <c r="C751" t="str">
        <f>IF(SessionMovements[[#This Row],[MovementID]]="","",
   _xlfn.XLOOKUP(SessionMovements[[#This Row],[MovementID]],MovementLibrary[MovementID],MovementLibrary[Name],"")
)</f>
        <v>Nordic Hamstring Curl</v>
      </c>
      <c r="D751" s="5" t="str">
        <f>IF(SessionMovements[[#This Row],[MovementID]]="","",
   _xlfn.XLOOKUP(SessionMovements[[#This Row],[MovementID]], MovementLibrary[MovementID], MovementLibrary[Modality], "")
)</f>
        <v>Gymnastics</v>
      </c>
      <c r="E751" s="5" t="str">
        <f>IF(SessionMovements[[#This Row],[MovementID]]="","",
   _xlfn.XLOOKUP(SessionMovements[[#This Row],[MovementID]], MovementLibrary[MovementID], MovementLibrary[Unit], "")
)</f>
        <v>reps</v>
      </c>
      <c r="F7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1">
        <v>3</v>
      </c>
      <c r="H751">
        <v>6</v>
      </c>
      <c r="K751" t="s">
        <v>1126</v>
      </c>
      <c r="L751" s="5" t="str">
        <f>IF(COUNTIF(Sessions[SessionID],SessionMovements[[#This Row],[SessionID]])=0,"❌ Missing","✔ OK")</f>
        <v>✔ OK</v>
      </c>
    </row>
    <row r="752" spans="1:12" x14ac:dyDescent="0.3">
      <c r="A752" t="s">
        <v>1215</v>
      </c>
      <c r="B752" t="s">
        <v>711</v>
      </c>
      <c r="C752" t="str">
        <f>IF(SessionMovements[[#This Row],[MovementID]]="","",
   _xlfn.XLOOKUP(SessionMovements[[#This Row],[MovementID]],MovementLibrary[MovementID],MovementLibrary[Name],"")
)</f>
        <v>Ring Row</v>
      </c>
      <c r="D752" s="5" t="str">
        <f>IF(SessionMovements[[#This Row],[MovementID]]="","",
   _xlfn.XLOOKUP(SessionMovements[[#This Row],[MovementID]], MovementLibrary[MovementID], MovementLibrary[Modality], "")
)</f>
        <v>Gymnastics</v>
      </c>
      <c r="E752" s="5" t="str">
        <f>IF(SessionMovements[[#This Row],[MovementID]]="","",
   _xlfn.XLOOKUP(SessionMovements[[#This Row],[MovementID]], MovementLibrary[MovementID], MovementLibrary[Unit], "")
)</f>
        <v>reps</v>
      </c>
      <c r="F7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2">
        <v>3</v>
      </c>
      <c r="H752">
        <v>10</v>
      </c>
      <c r="L752" s="5" t="str">
        <f>IF(COUNTIF(Sessions[SessionID],SessionMovements[[#This Row],[SessionID]])=0,"❌ Missing","✔ OK")</f>
        <v>✔ OK</v>
      </c>
    </row>
    <row r="753" spans="1:12" x14ac:dyDescent="0.3">
      <c r="A753" t="s">
        <v>1215</v>
      </c>
      <c r="B753" t="s">
        <v>388</v>
      </c>
      <c r="C753" t="str">
        <f>IF(SessionMovements[[#This Row],[MovementID]]="","",
   _xlfn.XLOOKUP(SessionMovements[[#This Row],[MovementID]],MovementLibrary[MovementID],MovementLibrary[Name],"")
)</f>
        <v>Pull-Up</v>
      </c>
      <c r="D753" s="5" t="str">
        <f>IF(SessionMovements[[#This Row],[MovementID]]="","",
   _xlfn.XLOOKUP(SessionMovements[[#This Row],[MovementID]], MovementLibrary[MovementID], MovementLibrary[Modality], "")
)</f>
        <v>Gymnastics</v>
      </c>
      <c r="E753" s="5" t="str">
        <f>IF(SessionMovements[[#This Row],[MovementID]]="","",
   _xlfn.XLOOKUP(SessionMovements[[#This Row],[MovementID]], MovementLibrary[MovementID], MovementLibrary[Unit], "")
)</f>
        <v>reps</v>
      </c>
      <c r="F7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3">
        <v>3</v>
      </c>
      <c r="H753">
        <v>8</v>
      </c>
      <c r="K753" t="s">
        <v>1128</v>
      </c>
      <c r="L753" s="5" t="str">
        <f>IF(COUNTIF(Sessions[SessionID],SessionMovements[[#This Row],[SessionID]])=0,"❌ Missing","✔ OK")</f>
        <v>✔ OK</v>
      </c>
    </row>
    <row r="754" spans="1:12" x14ac:dyDescent="0.3">
      <c r="A754" t="s">
        <v>1215</v>
      </c>
      <c r="B754" t="s">
        <v>530</v>
      </c>
      <c r="C754" t="str">
        <f>IF(SessionMovements[[#This Row],[MovementID]]="","",
   _xlfn.XLOOKUP(SessionMovements[[#This Row],[MovementID]],MovementLibrary[MovementID],MovementLibrary[Name],"")
)</f>
        <v>Hollow Hold</v>
      </c>
      <c r="D754" s="5" t="str">
        <f>IF(SessionMovements[[#This Row],[MovementID]]="","",
   _xlfn.XLOOKUP(SessionMovements[[#This Row],[MovementID]], MovementLibrary[MovementID], MovementLibrary[Modality], "")
)</f>
        <v>Gymnastics</v>
      </c>
      <c r="E754" s="5" t="str">
        <f>IF(SessionMovements[[#This Row],[MovementID]]="","",
   _xlfn.XLOOKUP(SessionMovements[[#This Row],[MovementID]], MovementLibrary[MovementID], MovementLibrary[Unit], "")
)</f>
        <v>sec</v>
      </c>
      <c r="F7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4">
        <v>3</v>
      </c>
      <c r="H754">
        <v>30</v>
      </c>
      <c r="K754" t="s">
        <v>1193</v>
      </c>
      <c r="L754" s="5" t="str">
        <f>IF(COUNTIF(Sessions[SessionID],SessionMovements[[#This Row],[SessionID]])=0,"❌ Missing","✔ OK")</f>
        <v>✔ OK</v>
      </c>
    </row>
    <row r="755" spans="1:12" x14ac:dyDescent="0.3">
      <c r="A755" t="s">
        <v>1216</v>
      </c>
      <c r="B755" t="s">
        <v>260</v>
      </c>
      <c r="C755" t="str">
        <f>IF(SessionMovements[[#This Row],[MovementID]]="","",
   _xlfn.XLOOKUP(SessionMovements[[#This Row],[MovementID]],MovementLibrary[MovementID],MovementLibrary[Name],"")
)</f>
        <v>Snatch</v>
      </c>
      <c r="D755" s="5" t="str">
        <f>IF(SessionMovements[[#This Row],[MovementID]]="","",
   _xlfn.XLOOKUP(SessionMovements[[#This Row],[MovementID]], MovementLibrary[MovementID], MovementLibrary[Modality], "")
)</f>
        <v>Barbell</v>
      </c>
      <c r="E755" s="5" t="str">
        <f>IF(SessionMovements[[#This Row],[MovementID]]="","",
   _xlfn.XLOOKUP(SessionMovements[[#This Row],[MovementID]], MovementLibrary[MovementID], MovementLibrary[Unit], "")
)</f>
        <v>kg</v>
      </c>
      <c r="F7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5">
        <v>1</v>
      </c>
      <c r="H755">
        <v>1</v>
      </c>
      <c r="K755" t="s">
        <v>1195</v>
      </c>
      <c r="L755" s="5" t="str">
        <f>IF(COUNTIF(Sessions[SessionID],SessionMovements[[#This Row],[SessionID]])=0,"❌ Missing","✔ OK")</f>
        <v>✔ OK</v>
      </c>
    </row>
    <row r="756" spans="1:12" x14ac:dyDescent="0.3">
      <c r="A756" t="s">
        <v>1216</v>
      </c>
      <c r="B756" t="s">
        <v>260</v>
      </c>
      <c r="C756" t="str">
        <f>IF(SessionMovements[[#This Row],[MovementID]]="","",
   _xlfn.XLOOKUP(SessionMovements[[#This Row],[MovementID]],MovementLibrary[MovementID],MovementLibrary[Name],"")
)</f>
        <v>Snatch</v>
      </c>
      <c r="D756" s="5" t="str">
        <f>IF(SessionMovements[[#This Row],[MovementID]]="","",
   _xlfn.XLOOKUP(SessionMovements[[#This Row],[MovementID]], MovementLibrary[MovementID], MovementLibrary[Modality], "")
)</f>
        <v>Barbell</v>
      </c>
      <c r="E756" s="5" t="str">
        <f>IF(SessionMovements[[#This Row],[MovementID]]="","",
   _xlfn.XLOOKUP(SessionMovements[[#This Row],[MovementID]], MovementLibrary[MovementID], MovementLibrary[Unit], "")
)</f>
        <v>kg</v>
      </c>
      <c r="F7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6">
        <v>5</v>
      </c>
      <c r="H756">
        <v>1</v>
      </c>
      <c r="K756" t="s">
        <v>1196</v>
      </c>
      <c r="L756" s="5" t="str">
        <f>IF(COUNTIF(Sessions[SessionID],SessionMovements[[#This Row],[SessionID]])=0,"❌ Missing","✔ OK")</f>
        <v>✔ OK</v>
      </c>
    </row>
    <row r="757" spans="1:12" x14ac:dyDescent="0.3">
      <c r="A757" t="s">
        <v>1216</v>
      </c>
      <c r="B757" t="s">
        <v>261</v>
      </c>
      <c r="C757" t="str">
        <f>IF(SessionMovements[[#This Row],[MovementID]]="","",
   _xlfn.XLOOKUP(SessionMovements[[#This Row],[MovementID]],MovementLibrary[MovementID],MovementLibrary[Name],"")
)</f>
        <v>Clean &amp; Jerk</v>
      </c>
      <c r="D757" s="5" t="str">
        <f>IF(SessionMovements[[#This Row],[MovementID]]="","",
   _xlfn.XLOOKUP(SessionMovements[[#This Row],[MovementID]], MovementLibrary[MovementID], MovementLibrary[Modality], "")
)</f>
        <v>Barbell</v>
      </c>
      <c r="E757" s="5" t="str">
        <f>IF(SessionMovements[[#This Row],[MovementID]]="","",
   _xlfn.XLOOKUP(SessionMovements[[#This Row],[MovementID]], MovementLibrary[MovementID], MovementLibrary[Unit], "")
)</f>
        <v>kg</v>
      </c>
      <c r="F7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7">
        <v>1</v>
      </c>
      <c r="H757">
        <v>1</v>
      </c>
      <c r="K757" t="s">
        <v>1197</v>
      </c>
      <c r="L757" s="5" t="str">
        <f>IF(COUNTIF(Sessions[SessionID],SessionMovements[[#This Row],[SessionID]])=0,"❌ Missing","✔ OK")</f>
        <v>✔ OK</v>
      </c>
    </row>
    <row r="758" spans="1:12" x14ac:dyDescent="0.3">
      <c r="A758" t="s">
        <v>1216</v>
      </c>
      <c r="B758" t="s">
        <v>261</v>
      </c>
      <c r="C758" t="str">
        <f>IF(SessionMovements[[#This Row],[MovementID]]="","",
   _xlfn.XLOOKUP(SessionMovements[[#This Row],[MovementID]],MovementLibrary[MovementID],MovementLibrary[Name],"")
)</f>
        <v>Clean &amp; Jerk</v>
      </c>
      <c r="D758" s="5" t="str">
        <f>IF(SessionMovements[[#This Row],[MovementID]]="","",
   _xlfn.XLOOKUP(SessionMovements[[#This Row],[MovementID]], MovementLibrary[MovementID], MovementLibrary[Modality], "")
)</f>
        <v>Barbell</v>
      </c>
      <c r="E758" s="5" t="str">
        <f>IF(SessionMovements[[#This Row],[MovementID]]="","",
   _xlfn.XLOOKUP(SessionMovements[[#This Row],[MovementID]], MovementLibrary[MovementID], MovementLibrary[Unit], "")
)</f>
        <v>kg</v>
      </c>
      <c r="F7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8">
        <v>5</v>
      </c>
      <c r="H758">
        <v>1</v>
      </c>
      <c r="K758" t="s">
        <v>1198</v>
      </c>
      <c r="L758" s="5" t="str">
        <f>IF(COUNTIF(Sessions[SessionID],SessionMovements[[#This Row],[SessionID]])=0,"❌ Missing","✔ OK")</f>
        <v>✔ OK</v>
      </c>
    </row>
    <row r="759" spans="1:12" x14ac:dyDescent="0.3">
      <c r="A759" t="s">
        <v>1216</v>
      </c>
      <c r="B759" t="s">
        <v>726</v>
      </c>
      <c r="C759" t="str">
        <f>IF(SessionMovements[[#This Row],[MovementID]]="","",
   _xlfn.XLOOKUP(SessionMovements[[#This Row],[MovementID]],MovementLibrary[MovementID],MovementLibrary[Name],"")
)</f>
        <v>Pause Overhead Squat (2s)</v>
      </c>
      <c r="D759" s="5" t="str">
        <f>IF(SessionMovements[[#This Row],[MovementID]]="","",
   _xlfn.XLOOKUP(SessionMovements[[#This Row],[MovementID]], MovementLibrary[MovementID], MovementLibrary[Modality], "")
)</f>
        <v>Barbell</v>
      </c>
      <c r="E759" s="5" t="str">
        <f>IF(SessionMovements[[#This Row],[MovementID]]="","",
   _xlfn.XLOOKUP(SessionMovements[[#This Row],[MovementID]], MovementLibrary[MovementID], MovementLibrary[Unit], "")
)</f>
        <v>kg</v>
      </c>
      <c r="F7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59">
        <v>4</v>
      </c>
      <c r="H759">
        <v>2</v>
      </c>
      <c r="K759" t="s">
        <v>1199</v>
      </c>
      <c r="L759" s="5" t="str">
        <f>IF(COUNTIF(Sessions[SessionID],SessionMovements[[#This Row],[SessionID]])=0,"❌ Missing","✔ OK")</f>
        <v>✔ OK</v>
      </c>
    </row>
    <row r="760" spans="1:12" x14ac:dyDescent="0.3">
      <c r="A760" t="s">
        <v>1216</v>
      </c>
      <c r="B760" t="s">
        <v>254</v>
      </c>
      <c r="C760" t="str">
        <f>IF(SessionMovements[[#This Row],[MovementID]]="","",
   _xlfn.XLOOKUP(SessionMovements[[#This Row],[MovementID]],MovementLibrary[MovementID],MovementLibrary[Name],"")
)</f>
        <v/>
      </c>
      <c r="D760" s="5" t="str">
        <f>IF(SessionMovements[[#This Row],[MovementID]]="","",
   _xlfn.XLOOKUP(SessionMovements[[#This Row],[MovementID]], MovementLibrary[MovementID], MovementLibrary[Modality], "")
)</f>
        <v/>
      </c>
      <c r="E760" s="5" t="str">
        <f>IF(SessionMovements[[#This Row],[MovementID]]="","",
   _xlfn.XLOOKUP(SessionMovements[[#This Row],[MovementID]], MovementLibrary[MovementID], MovementLibrary[Unit], "")
)</f>
        <v/>
      </c>
      <c r="F7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0">
        <v>3</v>
      </c>
      <c r="H760">
        <v>8</v>
      </c>
      <c r="L760" s="5" t="str">
        <f>IF(COUNTIF(Sessions[SessionID],SessionMovements[[#This Row],[SessionID]])=0,"❌ Missing","✔ OK")</f>
        <v>✔ OK</v>
      </c>
    </row>
    <row r="761" spans="1:12" x14ac:dyDescent="0.3">
      <c r="A761" t="s">
        <v>1216</v>
      </c>
      <c r="B761" t="s">
        <v>720</v>
      </c>
      <c r="C761" t="str">
        <f>IF(SessionMovements[[#This Row],[MovementID]]="","",
   _xlfn.XLOOKUP(SessionMovements[[#This Row],[MovementID]],MovementLibrary[MovementID],MovementLibrary[Name],"")
)</f>
        <v>Barbell Lunge</v>
      </c>
      <c r="D761" s="5" t="str">
        <f>IF(SessionMovements[[#This Row],[MovementID]]="","",
   _xlfn.XLOOKUP(SessionMovements[[#This Row],[MovementID]], MovementLibrary[MovementID], MovementLibrary[Modality], "")
)</f>
        <v>Barbell</v>
      </c>
      <c r="E761" s="5" t="str">
        <f>IF(SessionMovements[[#This Row],[MovementID]]="","",
   _xlfn.XLOOKUP(SessionMovements[[#This Row],[MovementID]], MovementLibrary[MovementID], MovementLibrary[Unit], "")
)</f>
        <v>kg</v>
      </c>
      <c r="F7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1">
        <v>3</v>
      </c>
      <c r="H761">
        <v>12</v>
      </c>
      <c r="K761" t="s">
        <v>1200</v>
      </c>
      <c r="L761" s="5" t="str">
        <f>IF(COUNTIF(Sessions[SessionID],SessionMovements[[#This Row],[SessionID]])=0,"❌ Missing","✔ OK")</f>
        <v>✔ OK</v>
      </c>
    </row>
    <row r="762" spans="1:12" x14ac:dyDescent="0.3">
      <c r="A762" t="s">
        <v>1216</v>
      </c>
      <c r="B762" t="s">
        <v>428</v>
      </c>
      <c r="C762" t="str">
        <f>IF(SessionMovements[[#This Row],[MovementID]]="","",
   _xlfn.XLOOKUP(SessionMovements[[#This Row],[MovementID]],MovementLibrary[MovementID],MovementLibrary[Name],"")
)</f>
        <v>AbMat Sit-Up</v>
      </c>
      <c r="D762" s="5" t="str">
        <f>IF(SessionMovements[[#This Row],[MovementID]]="","",
   _xlfn.XLOOKUP(SessionMovements[[#This Row],[MovementID]], MovementLibrary[MovementID], MovementLibrary[Modality], "")
)</f>
        <v>Gymnastics</v>
      </c>
      <c r="E762" s="5" t="str">
        <f>IF(SessionMovements[[#This Row],[MovementID]]="","",
   _xlfn.XLOOKUP(SessionMovements[[#This Row],[MovementID]], MovementLibrary[MovementID], MovementLibrary[Unit], "")
)</f>
        <v>reps</v>
      </c>
      <c r="F7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2">
        <v>3</v>
      </c>
      <c r="H762">
        <v>20</v>
      </c>
      <c r="K762" t="s">
        <v>1201</v>
      </c>
      <c r="L762" s="5" t="str">
        <f>IF(COUNTIF(Sessions[SessionID],SessionMovements[[#This Row],[SessionID]])=0,"❌ Missing","✔ OK")</f>
        <v>✔ OK</v>
      </c>
    </row>
    <row r="763" spans="1:12" x14ac:dyDescent="0.3">
      <c r="A763" t="s">
        <v>1217</v>
      </c>
      <c r="B763" t="s">
        <v>541</v>
      </c>
      <c r="C763" t="str">
        <f>IF(SessionMovements[[#This Row],[MovementID]]="","",
   _xlfn.XLOOKUP(SessionMovements[[#This Row],[MovementID]],MovementLibrary[MovementID],MovementLibrary[Name],"")
)</f>
        <v>Hang Power Snatch</v>
      </c>
      <c r="D763" s="5" t="str">
        <f>IF(SessionMovements[[#This Row],[MovementID]]="","",
   _xlfn.XLOOKUP(SessionMovements[[#This Row],[MovementID]], MovementLibrary[MovementID], MovementLibrary[Modality], "")
)</f>
        <v>Barbell</v>
      </c>
      <c r="E763" s="5" t="str">
        <f>IF(SessionMovements[[#This Row],[MovementID]]="","",
   _xlfn.XLOOKUP(SessionMovements[[#This Row],[MovementID]], MovementLibrary[MovementID], MovementLibrary[Unit], "")
)</f>
        <v>kg</v>
      </c>
      <c r="F7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3">
        <v>6</v>
      </c>
      <c r="H763">
        <v>2</v>
      </c>
      <c r="K763" t="s">
        <v>1137</v>
      </c>
      <c r="L763" s="5" t="str">
        <f>IF(COUNTIF(Sessions[SessionID],SessionMovements[[#This Row],[SessionID]])=0,"❌ Missing","✔ OK")</f>
        <v>✔ OK</v>
      </c>
    </row>
    <row r="764" spans="1:12" x14ac:dyDescent="0.3">
      <c r="A764" t="s">
        <v>1217</v>
      </c>
      <c r="B764" t="s">
        <v>534</v>
      </c>
      <c r="C764" t="str">
        <f>IF(SessionMovements[[#This Row],[MovementID]]="","",
   _xlfn.XLOOKUP(SessionMovements[[#This Row],[MovementID]],MovementLibrary[MovementID],MovementLibrary[Name],"")
)</f>
        <v>Snatch Pull</v>
      </c>
      <c r="D764" s="5" t="str">
        <f>IF(SessionMovements[[#This Row],[MovementID]]="","",
   _xlfn.XLOOKUP(SessionMovements[[#This Row],[MovementID]], MovementLibrary[MovementID], MovementLibrary[Modality], "")
)</f>
        <v>Barbell</v>
      </c>
      <c r="E764" s="5" t="str">
        <f>IF(SessionMovements[[#This Row],[MovementID]]="","",
   _xlfn.XLOOKUP(SessionMovements[[#This Row],[MovementID]], MovementLibrary[MovementID], MovementLibrary[Unit], "")
)</f>
        <v>kg</v>
      </c>
      <c r="F7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4">
        <v>5</v>
      </c>
      <c r="H764">
        <v>3</v>
      </c>
      <c r="K764" t="s">
        <v>1138</v>
      </c>
      <c r="L764" s="5" t="str">
        <f>IF(COUNTIF(Sessions[SessionID],SessionMovements[[#This Row],[SessionID]])=0,"❌ Missing","✔ OK")</f>
        <v>✔ OK</v>
      </c>
    </row>
    <row r="765" spans="1:12" x14ac:dyDescent="0.3">
      <c r="A765" t="s">
        <v>1217</v>
      </c>
      <c r="B765" t="s">
        <v>314</v>
      </c>
      <c r="C765" t="str">
        <f>IF(SessionMovements[[#This Row],[MovementID]]="","",
   _xlfn.XLOOKUP(SessionMovements[[#This Row],[MovementID]],MovementLibrary[MovementID],MovementLibrary[Name],"")
)</f>
        <v>Floor Press</v>
      </c>
      <c r="D765" s="5" t="str">
        <f>IF(SessionMovements[[#This Row],[MovementID]]="","",
   _xlfn.XLOOKUP(SessionMovements[[#This Row],[MovementID]], MovementLibrary[MovementID], MovementLibrary[Modality], "")
)</f>
        <v>Barbell</v>
      </c>
      <c r="E765" s="5" t="str">
        <f>IF(SessionMovements[[#This Row],[MovementID]]="","",
   _xlfn.XLOOKUP(SessionMovements[[#This Row],[MovementID]], MovementLibrary[MovementID], MovementLibrary[Unit], "")
)</f>
        <v>kg</v>
      </c>
      <c r="F7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5">
        <v>5</v>
      </c>
      <c r="H765">
        <v>10</v>
      </c>
      <c r="L765" s="5" t="str">
        <f>IF(COUNTIF(Sessions[SessionID],SessionMovements[[#This Row],[SessionID]])=0,"❌ Missing","✔ OK")</f>
        <v>✔ OK</v>
      </c>
    </row>
    <row r="766" spans="1:12" x14ac:dyDescent="0.3">
      <c r="A766" t="s">
        <v>1217</v>
      </c>
      <c r="B766" t="s">
        <v>711</v>
      </c>
      <c r="C766" t="str">
        <f>IF(SessionMovements[[#This Row],[MovementID]]="","",
   _xlfn.XLOOKUP(SessionMovements[[#This Row],[MovementID]],MovementLibrary[MovementID],MovementLibrary[Name],"")
)</f>
        <v>Ring Row</v>
      </c>
      <c r="D766" s="5" t="str">
        <f>IF(SessionMovements[[#This Row],[MovementID]]="","",
   _xlfn.XLOOKUP(SessionMovements[[#This Row],[MovementID]], MovementLibrary[MovementID], MovementLibrary[Modality], "")
)</f>
        <v>Gymnastics</v>
      </c>
      <c r="E766" s="5" t="str">
        <f>IF(SessionMovements[[#This Row],[MovementID]]="","",
   _xlfn.XLOOKUP(SessionMovements[[#This Row],[MovementID]], MovementLibrary[MovementID], MovementLibrary[Unit], "")
)</f>
        <v>reps</v>
      </c>
      <c r="F7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6">
        <v>5</v>
      </c>
      <c r="H766">
        <v>10</v>
      </c>
      <c r="K766" t="s">
        <v>1218</v>
      </c>
      <c r="L766" s="5" t="str">
        <f>IF(COUNTIF(Sessions[SessionID],SessionMovements[[#This Row],[SessionID]])=0,"❌ Missing","✔ OK")</f>
        <v>✔ OK</v>
      </c>
    </row>
    <row r="767" spans="1:12" x14ac:dyDescent="0.3">
      <c r="A767" t="s">
        <v>1217</v>
      </c>
      <c r="B767" t="s">
        <v>530</v>
      </c>
      <c r="C767" t="str">
        <f>IF(SessionMovements[[#This Row],[MovementID]]="","",
   _xlfn.XLOOKUP(SessionMovements[[#This Row],[MovementID]],MovementLibrary[MovementID],MovementLibrary[Name],"")
)</f>
        <v>Hollow Hold</v>
      </c>
      <c r="D767" s="5" t="str">
        <f>IF(SessionMovements[[#This Row],[MovementID]]="","",
   _xlfn.XLOOKUP(SessionMovements[[#This Row],[MovementID]], MovementLibrary[MovementID], MovementLibrary[Modality], "")
)</f>
        <v>Gymnastics</v>
      </c>
      <c r="E767" s="5" t="str">
        <f>IF(SessionMovements[[#This Row],[MovementID]]="","",
   _xlfn.XLOOKUP(SessionMovements[[#This Row],[MovementID]], MovementLibrary[MovementID], MovementLibrary[Unit], "")
)</f>
        <v>sec</v>
      </c>
      <c r="F7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7">
        <v>3</v>
      </c>
      <c r="H767">
        <v>30</v>
      </c>
      <c r="K767" t="s">
        <v>1219</v>
      </c>
      <c r="L767" s="5" t="str">
        <f>IF(COUNTIF(Sessions[SessionID],SessionMovements[[#This Row],[SessionID]])=0,"❌ Missing","✔ OK")</f>
        <v>✔ OK</v>
      </c>
    </row>
    <row r="768" spans="1:12" x14ac:dyDescent="0.3">
      <c r="A768" t="s">
        <v>1220</v>
      </c>
      <c r="B768" t="s">
        <v>258</v>
      </c>
      <c r="C768" t="str">
        <f>IF(SessionMovements[[#This Row],[MovementID]]="","",
   _xlfn.XLOOKUP(SessionMovements[[#This Row],[MovementID]],MovementLibrary[MovementID],MovementLibrary[Name],"")
)</f>
        <v>Overhead Squat</v>
      </c>
      <c r="D768" s="5" t="str">
        <f>IF(SessionMovements[[#This Row],[MovementID]]="","",
   _xlfn.XLOOKUP(SessionMovements[[#This Row],[MovementID]], MovementLibrary[MovementID], MovementLibrary[Modality], "")
)</f>
        <v>Barbell</v>
      </c>
      <c r="E768" s="5" t="str">
        <f>IF(SessionMovements[[#This Row],[MovementID]]="","",
   _xlfn.XLOOKUP(SessionMovements[[#This Row],[MovementID]], MovementLibrary[MovementID], MovementLibrary[Unit], "")
)</f>
        <v>kg</v>
      </c>
      <c r="F7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8">
        <v>3</v>
      </c>
      <c r="H768">
        <v>3</v>
      </c>
      <c r="K768" t="s">
        <v>1221</v>
      </c>
      <c r="L768" s="5" t="str">
        <f>IF(COUNTIF(Sessions[SessionID],SessionMovements[[#This Row],[SessionID]])=0,"❌ Missing","✔ OK")</f>
        <v>✔ OK</v>
      </c>
    </row>
    <row r="769" spans="1:12" x14ac:dyDescent="0.3">
      <c r="A769" t="s">
        <v>1220</v>
      </c>
      <c r="B769" t="s">
        <v>298</v>
      </c>
      <c r="C769" t="str">
        <f>IF(SessionMovements[[#This Row],[MovementID]]="","",
   _xlfn.XLOOKUP(SessionMovements[[#This Row],[MovementID]],MovementLibrary[MovementID],MovementLibrary[Name],"")
)</f>
        <v>Back Squat</v>
      </c>
      <c r="D769" s="5" t="str">
        <f>IF(SessionMovements[[#This Row],[MovementID]]="","",
   _xlfn.XLOOKUP(SessionMovements[[#This Row],[MovementID]], MovementLibrary[MovementID], MovementLibrary[Modality], "")
)</f>
        <v>Barbell</v>
      </c>
      <c r="E769" s="5" t="str">
        <f>IF(SessionMovements[[#This Row],[MovementID]]="","",
   _xlfn.XLOOKUP(SessionMovements[[#This Row],[MovementID]], MovementLibrary[MovementID], MovementLibrary[Unit], "")
)</f>
        <v>kg</v>
      </c>
      <c r="F7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69">
        <v>2</v>
      </c>
      <c r="H769">
        <v>8</v>
      </c>
      <c r="K769" t="s">
        <v>1222</v>
      </c>
      <c r="L769" s="5" t="str">
        <f>IF(COUNTIF(Sessions[SessionID],SessionMovements[[#This Row],[SessionID]])=0,"❌ Missing","✔ OK")</f>
        <v>✔ OK</v>
      </c>
    </row>
    <row r="770" spans="1:12" x14ac:dyDescent="0.3">
      <c r="A770" t="s">
        <v>1220</v>
      </c>
      <c r="B770" t="s">
        <v>309</v>
      </c>
      <c r="C770" t="str">
        <f>IF(SessionMovements[[#This Row],[MovementID]]="","",
   _xlfn.XLOOKUP(SessionMovements[[#This Row],[MovementID]],MovementLibrary[MovementID],MovementLibrary[Name],"")
)</f>
        <v>Romanian Deadlift</v>
      </c>
      <c r="D770" s="5" t="str">
        <f>IF(SessionMovements[[#This Row],[MovementID]]="","",
   _xlfn.XLOOKUP(SessionMovements[[#This Row],[MovementID]], MovementLibrary[MovementID], MovementLibrary[Modality], "")
)</f>
        <v>Barbell</v>
      </c>
      <c r="E770" s="5" t="str">
        <f>IF(SessionMovements[[#This Row],[MovementID]]="","",
   _xlfn.XLOOKUP(SessionMovements[[#This Row],[MovementID]], MovementLibrary[MovementID], MovementLibrary[Unit], "")
)</f>
        <v>kg</v>
      </c>
      <c r="F7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0">
        <v>3</v>
      </c>
      <c r="H770">
        <v>5</v>
      </c>
      <c r="K770" t="s">
        <v>1223</v>
      </c>
      <c r="L770" s="5" t="str">
        <f>IF(COUNTIF(Sessions[SessionID],SessionMovements[[#This Row],[SessionID]])=0,"❌ Missing","✔ OK")</f>
        <v>✔ OK</v>
      </c>
    </row>
    <row r="771" spans="1:12" x14ac:dyDescent="0.3">
      <c r="A771" t="s">
        <v>1220</v>
      </c>
      <c r="B771" t="s">
        <v>720</v>
      </c>
      <c r="C771" t="str">
        <f>IF(SessionMovements[[#This Row],[MovementID]]="","",
   _xlfn.XLOOKUP(SessionMovements[[#This Row],[MovementID]],MovementLibrary[MovementID],MovementLibrary[Name],"")
)</f>
        <v>Barbell Lunge</v>
      </c>
      <c r="D771" s="5" t="str">
        <f>IF(SessionMovements[[#This Row],[MovementID]]="","",
   _xlfn.XLOOKUP(SessionMovements[[#This Row],[MovementID]], MovementLibrary[MovementID], MovementLibrary[Modality], "")
)</f>
        <v>Barbell</v>
      </c>
      <c r="E771" s="5" t="str">
        <f>IF(SessionMovements[[#This Row],[MovementID]]="","",
   _xlfn.XLOOKUP(SessionMovements[[#This Row],[MovementID]], MovementLibrary[MovementID], MovementLibrary[Unit], "")
)</f>
        <v>kg</v>
      </c>
      <c r="F7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1">
        <v>2</v>
      </c>
      <c r="H771">
        <v>10</v>
      </c>
      <c r="L771" s="5" t="str">
        <f>IF(COUNTIF(Sessions[SessionID],SessionMovements[[#This Row],[SessionID]])=0,"❌ Missing","✔ OK")</f>
        <v>✔ OK</v>
      </c>
    </row>
    <row r="772" spans="1:12" x14ac:dyDescent="0.3">
      <c r="A772" t="s">
        <v>1220</v>
      </c>
      <c r="B772" t="s">
        <v>717</v>
      </c>
      <c r="C772" t="str">
        <f>IF(SessionMovements[[#This Row],[MovementID]]="","",
   _xlfn.XLOOKUP(SessionMovements[[#This Row],[MovementID]],MovementLibrary[MovementID],MovementLibrary[Name],"")
)</f>
        <v>Broad Jump</v>
      </c>
      <c r="D772" s="5" t="str">
        <f>IF(SessionMovements[[#This Row],[MovementID]]="","",
   _xlfn.XLOOKUP(SessionMovements[[#This Row],[MovementID]], MovementLibrary[MovementID], MovementLibrary[Modality], "")
)</f>
        <v>Plyometric</v>
      </c>
      <c r="E772" s="5" t="str">
        <f>IF(SessionMovements[[#This Row],[MovementID]]="","",
   _xlfn.XLOOKUP(SessionMovements[[#This Row],[MovementID]], MovementLibrary[MovementID], MovementLibrary[Unit], "")
)</f>
        <v>reps</v>
      </c>
      <c r="F7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2">
        <v>3</v>
      </c>
      <c r="H772">
        <v>3</v>
      </c>
      <c r="K772" t="s">
        <v>1224</v>
      </c>
      <c r="L772" s="5" t="str">
        <f>IF(COUNTIF(Sessions[SessionID],SessionMovements[[#This Row],[SessionID]])=0,"❌ Missing","✔ OK")</f>
        <v>✔ OK</v>
      </c>
    </row>
    <row r="773" spans="1:12" x14ac:dyDescent="0.3">
      <c r="A773" t="s">
        <v>1220</v>
      </c>
      <c r="B773" t="s">
        <v>428</v>
      </c>
      <c r="C773" t="str">
        <f>IF(SessionMovements[[#This Row],[MovementID]]="","",
   _xlfn.XLOOKUP(SessionMovements[[#This Row],[MovementID]],MovementLibrary[MovementID],MovementLibrary[Name],"")
)</f>
        <v>AbMat Sit-Up</v>
      </c>
      <c r="D773" s="5" t="str">
        <f>IF(SessionMovements[[#This Row],[MovementID]]="","",
   _xlfn.XLOOKUP(SessionMovements[[#This Row],[MovementID]], MovementLibrary[MovementID], MovementLibrary[Modality], "")
)</f>
        <v>Gymnastics</v>
      </c>
      <c r="E773" s="5" t="str">
        <f>IF(SessionMovements[[#This Row],[MovementID]]="","",
   _xlfn.XLOOKUP(SessionMovements[[#This Row],[MovementID]], MovementLibrary[MovementID], MovementLibrary[Unit], "")
)</f>
        <v>reps</v>
      </c>
      <c r="F7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3">
        <v>2</v>
      </c>
      <c r="H773">
        <v>20</v>
      </c>
      <c r="K773" t="s">
        <v>1225</v>
      </c>
      <c r="L773" s="5" t="str">
        <f>IF(COUNTIF(Sessions[SessionID],SessionMovements[[#This Row],[SessionID]])=0,"❌ Missing","✔ OK")</f>
        <v>✔ OK</v>
      </c>
    </row>
    <row r="774" spans="1:12" x14ac:dyDescent="0.3">
      <c r="A774" t="s">
        <v>1226</v>
      </c>
      <c r="B774" t="s">
        <v>290</v>
      </c>
      <c r="C774" t="str">
        <f>IF(SessionMovements[[#This Row],[MovementID]]="","",
   _xlfn.XLOOKUP(SessionMovements[[#This Row],[MovementID]],MovementLibrary[MovementID],MovementLibrary[Name],"")
)</f>
        <v>Push Jerk</v>
      </c>
      <c r="D774" s="5" t="str">
        <f>IF(SessionMovements[[#This Row],[MovementID]]="","",
   _xlfn.XLOOKUP(SessionMovements[[#This Row],[MovementID]], MovementLibrary[MovementID], MovementLibrary[Modality], "")
)</f>
        <v>Barbell</v>
      </c>
      <c r="E774" s="5" t="str">
        <f>IF(SessionMovements[[#This Row],[MovementID]]="","",
   _xlfn.XLOOKUP(SessionMovements[[#This Row],[MovementID]], MovementLibrary[MovementID], MovementLibrary[Unit], "")
)</f>
        <v>kg</v>
      </c>
      <c r="F7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4">
        <v>4</v>
      </c>
      <c r="H774">
        <v>2</v>
      </c>
      <c r="K774" t="s">
        <v>1227</v>
      </c>
      <c r="L774" s="5" t="str">
        <f>IF(COUNTIF(Sessions[SessionID],SessionMovements[[#This Row],[SessionID]])=0,"❌ Missing","✔ OK")</f>
        <v>✔ OK</v>
      </c>
    </row>
    <row r="775" spans="1:12" x14ac:dyDescent="0.3">
      <c r="A775" t="s">
        <v>1226</v>
      </c>
      <c r="B775" t="s">
        <v>262</v>
      </c>
      <c r="C775" t="str">
        <f>IF(SessionMovements[[#This Row],[MovementID]]="","",
   _xlfn.XLOOKUP(SessionMovements[[#This Row],[MovementID]],MovementLibrary[MovementID],MovementLibrary[Name],"")
)</f>
        <v>Strict Press</v>
      </c>
      <c r="D775" s="5" t="str">
        <f>IF(SessionMovements[[#This Row],[MovementID]]="","",
   _xlfn.XLOOKUP(SessionMovements[[#This Row],[MovementID]], MovementLibrary[MovementID], MovementLibrary[Modality], "")
)</f>
        <v>Barbell</v>
      </c>
      <c r="E775" s="5" t="str">
        <f>IF(SessionMovements[[#This Row],[MovementID]]="","",
   _xlfn.XLOOKUP(SessionMovements[[#This Row],[MovementID]], MovementLibrary[MovementID], MovementLibrary[Unit], "")
)</f>
        <v>kg</v>
      </c>
      <c r="F7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5">
        <v>4</v>
      </c>
      <c r="H775">
        <v>3</v>
      </c>
      <c r="L775" s="5" t="str">
        <f>IF(COUNTIF(Sessions[SessionID],SessionMovements[[#This Row],[SessionID]])=0,"❌ Missing","✔ OK")</f>
        <v>✔ OK</v>
      </c>
    </row>
    <row r="776" spans="1:12" x14ac:dyDescent="0.3">
      <c r="A776" t="s">
        <v>1226</v>
      </c>
      <c r="B776" t="s">
        <v>441</v>
      </c>
      <c r="C776" t="str">
        <f>IF(SessionMovements[[#This Row],[MovementID]]="","",
   _xlfn.XLOOKUP(SessionMovements[[#This Row],[MovementID]],MovementLibrary[MovementID],MovementLibrary[Name],"")
)</f>
        <v>Ring Dip</v>
      </c>
      <c r="D776" s="5" t="str">
        <f>IF(SessionMovements[[#This Row],[MovementID]]="","",
   _xlfn.XLOOKUP(SessionMovements[[#This Row],[MovementID]], MovementLibrary[MovementID], MovementLibrary[Modality], "")
)</f>
        <v>Gymnastics</v>
      </c>
      <c r="E776" s="5" t="str">
        <f>IF(SessionMovements[[#This Row],[MovementID]]="","",
   _xlfn.XLOOKUP(SessionMovements[[#This Row],[MovementID]], MovementLibrary[MovementID], MovementLibrary[Unit], "")
)</f>
        <v>reps</v>
      </c>
      <c r="F7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6">
        <v>2</v>
      </c>
      <c r="H776">
        <v>8</v>
      </c>
      <c r="L776" s="5" t="str">
        <f>IF(COUNTIF(Sessions[SessionID],SessionMovements[[#This Row],[SessionID]])=0,"❌ Missing","✔ OK")</f>
        <v>✔ OK</v>
      </c>
    </row>
    <row r="777" spans="1:12" x14ac:dyDescent="0.3">
      <c r="A777" t="s">
        <v>1226</v>
      </c>
      <c r="B777" t="s">
        <v>256</v>
      </c>
      <c r="C777" t="str">
        <f>IF(SessionMovements[[#This Row],[MovementID]]="","",
   _xlfn.XLOOKUP(SessionMovements[[#This Row],[MovementID]],MovementLibrary[MovementID],MovementLibrary[Name],"")
)</f>
        <v>Bench Press</v>
      </c>
      <c r="D777" s="5" t="str">
        <f>IF(SessionMovements[[#This Row],[MovementID]]="","",
   _xlfn.XLOOKUP(SessionMovements[[#This Row],[MovementID]], MovementLibrary[MovementID], MovementLibrary[Modality], "")
)</f>
        <v>Barbell</v>
      </c>
      <c r="E777" s="5" t="str">
        <f>IF(SessionMovements[[#This Row],[MovementID]]="","",
   _xlfn.XLOOKUP(SessionMovements[[#This Row],[MovementID]], MovementLibrary[MovementID], MovementLibrary[Unit], "")
)</f>
        <v>kg</v>
      </c>
      <c r="F7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7">
        <v>2</v>
      </c>
      <c r="H777">
        <v>10</v>
      </c>
      <c r="K777" t="s">
        <v>1164</v>
      </c>
      <c r="L777" s="5" t="str">
        <f>IF(COUNTIF(Sessions[SessionID],SessionMovements[[#This Row],[SessionID]])=0,"❌ Missing","✔ OK")</f>
        <v>✔ OK</v>
      </c>
    </row>
    <row r="778" spans="1:12" x14ac:dyDescent="0.3">
      <c r="A778" t="s">
        <v>1226</v>
      </c>
      <c r="B778" t="s">
        <v>437</v>
      </c>
      <c r="C778" t="str">
        <f>IF(SessionMovements[[#This Row],[MovementID]]="","",
   _xlfn.XLOOKUP(SessionMovements[[#This Row],[MovementID]],MovementLibrary[MovementID],MovementLibrary[Name],"")
)</f>
        <v>Plank Hold</v>
      </c>
      <c r="D778" s="5" t="str">
        <f>IF(SessionMovements[[#This Row],[MovementID]]="","",
   _xlfn.XLOOKUP(SessionMovements[[#This Row],[MovementID]], MovementLibrary[MovementID], MovementLibrary[Modality], "")
)</f>
        <v>Gymnastics</v>
      </c>
      <c r="E778" s="5" t="str">
        <f>IF(SessionMovements[[#This Row],[MovementID]]="","",
   _xlfn.XLOOKUP(SessionMovements[[#This Row],[MovementID]], MovementLibrary[MovementID], MovementLibrary[Unit], "")
)</f>
        <v>sec</v>
      </c>
      <c r="F7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8">
        <v>2</v>
      </c>
      <c r="H778">
        <v>40</v>
      </c>
      <c r="K778" t="s">
        <v>1228</v>
      </c>
      <c r="L778" s="5" t="str">
        <f>IF(COUNTIF(Sessions[SessionID],SessionMovements[[#This Row],[SessionID]])=0,"❌ Missing","✔ OK")</f>
        <v>✔ OK</v>
      </c>
    </row>
    <row r="779" spans="1:12" x14ac:dyDescent="0.3">
      <c r="A779" t="s">
        <v>1229</v>
      </c>
      <c r="B779" t="s">
        <v>539</v>
      </c>
      <c r="C779" t="str">
        <f>IF(SessionMovements[[#This Row],[MovementID]]="","",
   _xlfn.XLOOKUP(SessionMovements[[#This Row],[MovementID]],MovementLibrary[MovementID],MovementLibrary[Name],"")
)</f>
        <v>Hang Power Clean</v>
      </c>
      <c r="D779" s="5" t="str">
        <f>IF(SessionMovements[[#This Row],[MovementID]]="","",
   _xlfn.XLOOKUP(SessionMovements[[#This Row],[MovementID]], MovementLibrary[MovementID], MovementLibrary[Modality], "")
)</f>
        <v>Barbell</v>
      </c>
      <c r="E779" s="5" t="str">
        <f>IF(SessionMovements[[#This Row],[MovementID]]="","",
   _xlfn.XLOOKUP(SessionMovements[[#This Row],[MovementID]], MovementLibrary[MovementID], MovementLibrary[Unit], "")
)</f>
        <v>kg</v>
      </c>
      <c r="F7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79">
        <v>4</v>
      </c>
      <c r="H779">
        <v>2</v>
      </c>
      <c r="K779" t="s">
        <v>1230</v>
      </c>
      <c r="L779" s="5" t="str">
        <f>IF(COUNTIF(Sessions[SessionID],SessionMovements[[#This Row],[SessionID]])=0,"❌ Missing","✔ OK")</f>
        <v>✔ OK</v>
      </c>
    </row>
    <row r="780" spans="1:12" x14ac:dyDescent="0.3">
      <c r="A780" t="s">
        <v>1229</v>
      </c>
      <c r="B780" t="s">
        <v>537</v>
      </c>
      <c r="C780" t="str">
        <f>IF(SessionMovements[[#This Row],[MovementID]]="","",
   _xlfn.XLOOKUP(SessionMovements[[#This Row],[MovementID]],MovementLibrary[MovementID],MovementLibrary[Name],"")
)</f>
        <v>Clean Pull</v>
      </c>
      <c r="D780" s="5" t="str">
        <f>IF(SessionMovements[[#This Row],[MovementID]]="","",
   _xlfn.XLOOKUP(SessionMovements[[#This Row],[MovementID]], MovementLibrary[MovementID], MovementLibrary[Modality], "")
)</f>
        <v>Barbell</v>
      </c>
      <c r="E780" s="5" t="str">
        <f>IF(SessionMovements[[#This Row],[MovementID]]="","",
   _xlfn.XLOOKUP(SessionMovements[[#This Row],[MovementID]], MovementLibrary[MovementID], MovementLibrary[Unit], "")
)</f>
        <v>kg</v>
      </c>
      <c r="F7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0">
        <v>3</v>
      </c>
      <c r="H780">
        <v>3</v>
      </c>
      <c r="L780" s="5" t="str">
        <f>IF(COUNTIF(Sessions[SessionID],SessionMovements[[#This Row],[SessionID]])=0,"❌ Missing","✔ OK")</f>
        <v>✔ OK</v>
      </c>
    </row>
    <row r="781" spans="1:12" x14ac:dyDescent="0.3">
      <c r="A781" t="s">
        <v>1229</v>
      </c>
      <c r="B781" t="s">
        <v>723</v>
      </c>
      <c r="C781" t="str">
        <f>IF(SessionMovements[[#This Row],[MovementID]]="","",
   _xlfn.XLOOKUP(SessionMovements[[#This Row],[MovementID]],MovementLibrary[MovementID],MovementLibrary[Name],"")
)</f>
        <v>Nordic Hamstring Curl</v>
      </c>
      <c r="D781" s="5" t="str">
        <f>IF(SessionMovements[[#This Row],[MovementID]]="","",
   _xlfn.XLOOKUP(SessionMovements[[#This Row],[MovementID]], MovementLibrary[MovementID], MovementLibrary[Modality], "")
)</f>
        <v>Gymnastics</v>
      </c>
      <c r="E781" s="5" t="str">
        <f>IF(SessionMovements[[#This Row],[MovementID]]="","",
   _xlfn.XLOOKUP(SessionMovements[[#This Row],[MovementID]], MovementLibrary[MovementID], MovementLibrary[Unit], "")
)</f>
        <v>reps</v>
      </c>
      <c r="F7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1">
        <v>2</v>
      </c>
      <c r="H781">
        <v>5</v>
      </c>
      <c r="L781" s="5" t="str">
        <f>IF(COUNTIF(Sessions[SessionID],SessionMovements[[#This Row],[SessionID]])=0,"❌ Missing","✔ OK")</f>
        <v>✔ OK</v>
      </c>
    </row>
    <row r="782" spans="1:12" x14ac:dyDescent="0.3">
      <c r="A782" t="s">
        <v>1229</v>
      </c>
      <c r="B782" t="s">
        <v>711</v>
      </c>
      <c r="C782" t="str">
        <f>IF(SessionMovements[[#This Row],[MovementID]]="","",
   _xlfn.XLOOKUP(SessionMovements[[#This Row],[MovementID]],MovementLibrary[MovementID],MovementLibrary[Name],"")
)</f>
        <v>Ring Row</v>
      </c>
      <c r="D782" s="5" t="str">
        <f>IF(SessionMovements[[#This Row],[MovementID]]="","",
   _xlfn.XLOOKUP(SessionMovements[[#This Row],[MovementID]], MovementLibrary[MovementID], MovementLibrary[Modality], "")
)</f>
        <v>Gymnastics</v>
      </c>
      <c r="E782" s="5" t="str">
        <f>IF(SessionMovements[[#This Row],[MovementID]]="","",
   _xlfn.XLOOKUP(SessionMovements[[#This Row],[MovementID]], MovementLibrary[MovementID], MovementLibrary[Unit], "")
)</f>
        <v>reps</v>
      </c>
      <c r="F7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2">
        <v>2</v>
      </c>
      <c r="H782">
        <v>10</v>
      </c>
      <c r="L782" s="5" t="str">
        <f>IF(COUNTIF(Sessions[SessionID],SessionMovements[[#This Row],[SessionID]])=0,"❌ Missing","✔ OK")</f>
        <v>✔ OK</v>
      </c>
    </row>
    <row r="783" spans="1:12" x14ac:dyDescent="0.3">
      <c r="A783" t="s">
        <v>1229</v>
      </c>
      <c r="B783" t="s">
        <v>388</v>
      </c>
      <c r="C783" t="str">
        <f>IF(SessionMovements[[#This Row],[MovementID]]="","",
   _xlfn.XLOOKUP(SessionMovements[[#This Row],[MovementID]],MovementLibrary[MovementID],MovementLibrary[Name],"")
)</f>
        <v>Pull-Up</v>
      </c>
      <c r="D783" s="5" t="str">
        <f>IF(SessionMovements[[#This Row],[MovementID]]="","",
   _xlfn.XLOOKUP(SessionMovements[[#This Row],[MovementID]], MovementLibrary[MovementID], MovementLibrary[Modality], "")
)</f>
        <v>Gymnastics</v>
      </c>
      <c r="E783" s="5" t="str">
        <f>IF(SessionMovements[[#This Row],[MovementID]]="","",
   _xlfn.XLOOKUP(SessionMovements[[#This Row],[MovementID]], MovementLibrary[MovementID], MovementLibrary[Unit], "")
)</f>
        <v>reps</v>
      </c>
      <c r="F7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3">
        <v>2</v>
      </c>
      <c r="H783">
        <v>10</v>
      </c>
      <c r="K783" t="s">
        <v>1168</v>
      </c>
      <c r="L783" s="5" t="str">
        <f>IF(COUNTIF(Sessions[SessionID],SessionMovements[[#This Row],[SessionID]])=0,"❌ Missing","✔ OK")</f>
        <v>✔ OK</v>
      </c>
    </row>
    <row r="784" spans="1:12" x14ac:dyDescent="0.3">
      <c r="A784" t="s">
        <v>1229</v>
      </c>
      <c r="B784" t="s">
        <v>530</v>
      </c>
      <c r="C784" t="str">
        <f>IF(SessionMovements[[#This Row],[MovementID]]="","",
   _xlfn.XLOOKUP(SessionMovements[[#This Row],[MovementID]],MovementLibrary[MovementID],MovementLibrary[Name],"")
)</f>
        <v>Hollow Hold</v>
      </c>
      <c r="D784" s="5" t="str">
        <f>IF(SessionMovements[[#This Row],[MovementID]]="","",
   _xlfn.XLOOKUP(SessionMovements[[#This Row],[MovementID]], MovementLibrary[MovementID], MovementLibrary[Modality], "")
)</f>
        <v>Gymnastics</v>
      </c>
      <c r="E784" s="5" t="str">
        <f>IF(SessionMovements[[#This Row],[MovementID]]="","",
   _xlfn.XLOOKUP(SessionMovements[[#This Row],[MovementID]], MovementLibrary[MovementID], MovementLibrary[Unit], "")
)</f>
        <v>sec</v>
      </c>
      <c r="F7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4">
        <v>2</v>
      </c>
      <c r="H784">
        <v>30</v>
      </c>
      <c r="K784" t="s">
        <v>1169</v>
      </c>
      <c r="L784" s="5" t="str">
        <f>IF(COUNTIF(Sessions[SessionID],SessionMovements[[#This Row],[SessionID]])=0,"❌ Missing","✔ OK")</f>
        <v>✔ OK</v>
      </c>
    </row>
    <row r="785" spans="1:12" x14ac:dyDescent="0.3">
      <c r="A785" t="s">
        <v>1231</v>
      </c>
      <c r="B785" t="s">
        <v>260</v>
      </c>
      <c r="C785" t="str">
        <f>IF(SessionMovements[[#This Row],[MovementID]]="","",
   _xlfn.XLOOKUP(SessionMovements[[#This Row],[MovementID]],MovementLibrary[MovementID],MovementLibrary[Name],"")
)</f>
        <v>Snatch</v>
      </c>
      <c r="D785" s="5" t="str">
        <f>IF(SessionMovements[[#This Row],[MovementID]]="","",
   _xlfn.XLOOKUP(SessionMovements[[#This Row],[MovementID]], MovementLibrary[MovementID], MovementLibrary[Modality], "")
)</f>
        <v>Barbell</v>
      </c>
      <c r="E785" s="5" t="str">
        <f>IF(SessionMovements[[#This Row],[MovementID]]="","",
   _xlfn.XLOOKUP(SessionMovements[[#This Row],[MovementID]], MovementLibrary[MovementID], MovementLibrary[Unit], "")
)</f>
        <v>kg</v>
      </c>
      <c r="F7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5">
        <v>5</v>
      </c>
      <c r="H785">
        <v>1</v>
      </c>
      <c r="K785" t="s">
        <v>1232</v>
      </c>
      <c r="L785" s="5" t="str">
        <f>IF(COUNTIF(Sessions[SessionID],SessionMovements[[#This Row],[SessionID]])=0,"❌ Missing","✔ OK")</f>
        <v>✔ OK</v>
      </c>
    </row>
    <row r="786" spans="1:12" x14ac:dyDescent="0.3">
      <c r="A786" t="s">
        <v>1231</v>
      </c>
      <c r="B786" t="s">
        <v>261</v>
      </c>
      <c r="C786" t="str">
        <f>IF(SessionMovements[[#This Row],[MovementID]]="","",
   _xlfn.XLOOKUP(SessionMovements[[#This Row],[MovementID]],MovementLibrary[MovementID],MovementLibrary[Name],"")
)</f>
        <v>Clean &amp; Jerk</v>
      </c>
      <c r="D786" s="5" t="str">
        <f>IF(SessionMovements[[#This Row],[MovementID]]="","",
   _xlfn.XLOOKUP(SessionMovements[[#This Row],[MovementID]], MovementLibrary[MovementID], MovementLibrary[Modality], "")
)</f>
        <v>Barbell</v>
      </c>
      <c r="E786" s="5" t="str">
        <f>IF(SessionMovements[[#This Row],[MovementID]]="","",
   _xlfn.XLOOKUP(SessionMovements[[#This Row],[MovementID]], MovementLibrary[MovementID], MovementLibrary[Unit], "")
)</f>
        <v>kg</v>
      </c>
      <c r="F7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6">
        <v>5</v>
      </c>
      <c r="H786">
        <v>1</v>
      </c>
      <c r="K786" t="s">
        <v>1233</v>
      </c>
      <c r="L786" s="5" t="str">
        <f>IF(COUNTIF(Sessions[SessionID],SessionMovements[[#This Row],[SessionID]])=0,"❌ Missing","✔ OK")</f>
        <v>✔ OK</v>
      </c>
    </row>
    <row r="787" spans="1:12" x14ac:dyDescent="0.3">
      <c r="A787" t="s">
        <v>1231</v>
      </c>
      <c r="B787" t="s">
        <v>726</v>
      </c>
      <c r="C787" t="str">
        <f>IF(SessionMovements[[#This Row],[MovementID]]="","",
   _xlfn.XLOOKUP(SessionMovements[[#This Row],[MovementID]],MovementLibrary[MovementID],MovementLibrary[Name],"")
)</f>
        <v>Pause Overhead Squat (2s)</v>
      </c>
      <c r="D787" s="5" t="str">
        <f>IF(SessionMovements[[#This Row],[MovementID]]="","",
   _xlfn.XLOOKUP(SessionMovements[[#This Row],[MovementID]], MovementLibrary[MovementID], MovementLibrary[Modality], "")
)</f>
        <v>Barbell</v>
      </c>
      <c r="E787" s="5" t="str">
        <f>IF(SessionMovements[[#This Row],[MovementID]]="","",
   _xlfn.XLOOKUP(SessionMovements[[#This Row],[MovementID]], MovementLibrary[MovementID], MovementLibrary[Unit], "")
)</f>
        <v>kg</v>
      </c>
      <c r="F7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7">
        <v>3</v>
      </c>
      <c r="H787">
        <v>2</v>
      </c>
      <c r="K787" t="s">
        <v>1234</v>
      </c>
      <c r="L787" s="5" t="str">
        <f>IF(COUNTIF(Sessions[SessionID],SessionMovements[[#This Row],[SessionID]])=0,"❌ Missing","✔ OK")</f>
        <v>✔ OK</v>
      </c>
    </row>
    <row r="788" spans="1:12" x14ac:dyDescent="0.3">
      <c r="A788" t="s">
        <v>1231</v>
      </c>
      <c r="B788" t="s">
        <v>298</v>
      </c>
      <c r="C788" t="str">
        <f>IF(SessionMovements[[#This Row],[MovementID]]="","",
   _xlfn.XLOOKUP(SessionMovements[[#This Row],[MovementID]],MovementLibrary[MovementID],MovementLibrary[Name],"")
)</f>
        <v>Back Squat</v>
      </c>
      <c r="D788" s="5" t="str">
        <f>IF(SessionMovements[[#This Row],[MovementID]]="","",
   _xlfn.XLOOKUP(SessionMovements[[#This Row],[MovementID]], MovementLibrary[MovementID], MovementLibrary[Modality], "")
)</f>
        <v>Barbell</v>
      </c>
      <c r="E788" s="5" t="str">
        <f>IF(SessionMovements[[#This Row],[MovementID]]="","",
   _xlfn.XLOOKUP(SessionMovements[[#This Row],[MovementID]], MovementLibrary[MovementID], MovementLibrary[Unit], "")
)</f>
        <v>kg</v>
      </c>
      <c r="F7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8">
        <v>2</v>
      </c>
      <c r="H788">
        <v>8</v>
      </c>
      <c r="L788" s="5" t="str">
        <f>IF(COUNTIF(Sessions[SessionID],SessionMovements[[#This Row],[SessionID]])=0,"❌ Missing","✔ OK")</f>
        <v>✔ OK</v>
      </c>
    </row>
    <row r="789" spans="1:12" x14ac:dyDescent="0.3">
      <c r="A789" t="s">
        <v>1231</v>
      </c>
      <c r="B789" t="s">
        <v>720</v>
      </c>
      <c r="C789" t="str">
        <f>IF(SessionMovements[[#This Row],[MovementID]]="","",
   _xlfn.XLOOKUP(SessionMovements[[#This Row],[MovementID]],MovementLibrary[MovementID],MovementLibrary[Name],"")
)</f>
        <v>Barbell Lunge</v>
      </c>
      <c r="D789" s="5" t="str">
        <f>IF(SessionMovements[[#This Row],[MovementID]]="","",
   _xlfn.XLOOKUP(SessionMovements[[#This Row],[MovementID]], MovementLibrary[MovementID], MovementLibrary[Modality], "")
)</f>
        <v>Barbell</v>
      </c>
      <c r="E789" s="5" t="str">
        <f>IF(SessionMovements[[#This Row],[MovementID]]="","",
   _xlfn.XLOOKUP(SessionMovements[[#This Row],[MovementID]], MovementLibrary[MovementID], MovementLibrary[Unit], "")
)</f>
        <v>kg</v>
      </c>
      <c r="F7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89">
        <v>2</v>
      </c>
      <c r="H789">
        <v>10</v>
      </c>
      <c r="K789" t="s">
        <v>1235</v>
      </c>
      <c r="L789" s="5" t="str">
        <f>IF(COUNTIF(Sessions[SessionID],SessionMovements[[#This Row],[SessionID]])=0,"❌ Missing","✔ OK")</f>
        <v>✔ OK</v>
      </c>
    </row>
    <row r="790" spans="1:12" x14ac:dyDescent="0.3">
      <c r="A790" t="s">
        <v>1231</v>
      </c>
      <c r="B790" t="s">
        <v>428</v>
      </c>
      <c r="C790" t="str">
        <f>IF(SessionMovements[[#This Row],[MovementID]]="","",
   _xlfn.XLOOKUP(SessionMovements[[#This Row],[MovementID]],MovementLibrary[MovementID],MovementLibrary[Name],"")
)</f>
        <v>AbMat Sit-Up</v>
      </c>
      <c r="D790" s="5" t="str">
        <f>IF(SessionMovements[[#This Row],[MovementID]]="","",
   _xlfn.XLOOKUP(SessionMovements[[#This Row],[MovementID]], MovementLibrary[MovementID], MovementLibrary[Modality], "")
)</f>
        <v>Gymnastics</v>
      </c>
      <c r="E790" s="5" t="str">
        <f>IF(SessionMovements[[#This Row],[MovementID]]="","",
   _xlfn.XLOOKUP(SessionMovements[[#This Row],[MovementID]], MovementLibrary[MovementID], MovementLibrary[Unit], "")
)</f>
        <v>reps</v>
      </c>
      <c r="F7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0">
        <v>2</v>
      </c>
      <c r="H790">
        <v>20</v>
      </c>
      <c r="K790" t="s">
        <v>1236</v>
      </c>
      <c r="L790" s="5" t="str">
        <f>IF(COUNTIF(Sessions[SessionID],SessionMovements[[#This Row],[SessionID]])=0,"❌ Missing","✔ OK")</f>
        <v>✔ OK</v>
      </c>
    </row>
    <row r="791" spans="1:12" x14ac:dyDescent="0.3">
      <c r="A791" t="s">
        <v>1237</v>
      </c>
      <c r="B791" t="s">
        <v>541</v>
      </c>
      <c r="C791" t="str">
        <f>IF(SessionMovements[[#This Row],[MovementID]]="","",
   _xlfn.XLOOKUP(SessionMovements[[#This Row],[MovementID]],MovementLibrary[MovementID],MovementLibrary[Name],"")
)</f>
        <v>Hang Power Snatch</v>
      </c>
      <c r="D791" s="5" t="str">
        <f>IF(SessionMovements[[#This Row],[MovementID]]="","",
   _xlfn.XLOOKUP(SessionMovements[[#This Row],[MovementID]], MovementLibrary[MovementID], MovementLibrary[Modality], "")
)</f>
        <v>Barbell</v>
      </c>
      <c r="E791" s="5" t="str">
        <f>IF(SessionMovements[[#This Row],[MovementID]]="","",
   _xlfn.XLOOKUP(SessionMovements[[#This Row],[MovementID]], MovementLibrary[MovementID], MovementLibrary[Unit], "")
)</f>
        <v>kg</v>
      </c>
      <c r="F7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1">
        <v>4</v>
      </c>
      <c r="H791">
        <v>2</v>
      </c>
      <c r="K791" t="s">
        <v>1176</v>
      </c>
      <c r="L791" s="5" t="str">
        <f>IF(COUNTIF(Sessions[SessionID],SessionMovements[[#This Row],[SessionID]])=0,"❌ Missing","✔ OK")</f>
        <v>✔ OK</v>
      </c>
    </row>
    <row r="792" spans="1:12" x14ac:dyDescent="0.3">
      <c r="A792" t="s">
        <v>1237</v>
      </c>
      <c r="B792" t="s">
        <v>534</v>
      </c>
      <c r="C792" t="str">
        <f>IF(SessionMovements[[#This Row],[MovementID]]="","",
   _xlfn.XLOOKUP(SessionMovements[[#This Row],[MovementID]],MovementLibrary[MovementID],MovementLibrary[Name],"")
)</f>
        <v>Snatch Pull</v>
      </c>
      <c r="D792" s="5" t="str">
        <f>IF(SessionMovements[[#This Row],[MovementID]]="","",
   _xlfn.XLOOKUP(SessionMovements[[#This Row],[MovementID]], MovementLibrary[MovementID], MovementLibrary[Modality], "")
)</f>
        <v>Barbell</v>
      </c>
      <c r="E792" s="5" t="str">
        <f>IF(SessionMovements[[#This Row],[MovementID]]="","",
   _xlfn.XLOOKUP(SessionMovements[[#This Row],[MovementID]], MovementLibrary[MovementID], MovementLibrary[Unit], "")
)</f>
        <v>kg</v>
      </c>
      <c r="F7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2">
        <v>3</v>
      </c>
      <c r="H792">
        <v>3</v>
      </c>
      <c r="L792" s="5" t="str">
        <f>IF(COUNTIF(Sessions[SessionID],SessionMovements[[#This Row],[SessionID]])=0,"❌ Missing","✔ OK")</f>
        <v>✔ OK</v>
      </c>
    </row>
    <row r="793" spans="1:12" x14ac:dyDescent="0.3">
      <c r="A793" t="s">
        <v>1237</v>
      </c>
      <c r="B793" t="s">
        <v>314</v>
      </c>
      <c r="C793" t="str">
        <f>IF(SessionMovements[[#This Row],[MovementID]]="","",
   _xlfn.XLOOKUP(SessionMovements[[#This Row],[MovementID]],MovementLibrary[MovementID],MovementLibrary[Name],"")
)</f>
        <v>Floor Press</v>
      </c>
      <c r="D793" s="5" t="str">
        <f>IF(SessionMovements[[#This Row],[MovementID]]="","",
   _xlfn.XLOOKUP(SessionMovements[[#This Row],[MovementID]], MovementLibrary[MovementID], MovementLibrary[Modality], "")
)</f>
        <v>Barbell</v>
      </c>
      <c r="E793" s="5" t="str">
        <f>IF(SessionMovements[[#This Row],[MovementID]]="","",
   _xlfn.XLOOKUP(SessionMovements[[#This Row],[MovementID]], MovementLibrary[MovementID], MovementLibrary[Unit], "")
)</f>
        <v>kg</v>
      </c>
      <c r="F7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3">
        <v>3</v>
      </c>
      <c r="H793">
        <v>10</v>
      </c>
      <c r="L793" s="5" t="str">
        <f>IF(COUNTIF(Sessions[SessionID],SessionMovements[[#This Row],[SessionID]])=0,"❌ Missing","✔ OK")</f>
        <v>✔ OK</v>
      </c>
    </row>
    <row r="794" spans="1:12" x14ac:dyDescent="0.3">
      <c r="A794" t="s">
        <v>1237</v>
      </c>
      <c r="B794" t="s">
        <v>711</v>
      </c>
      <c r="C794" t="str">
        <f>IF(SessionMovements[[#This Row],[MovementID]]="","",
   _xlfn.XLOOKUP(SessionMovements[[#This Row],[MovementID]],MovementLibrary[MovementID],MovementLibrary[Name],"")
)</f>
        <v>Ring Row</v>
      </c>
      <c r="D794" s="5" t="str">
        <f>IF(SessionMovements[[#This Row],[MovementID]]="","",
   _xlfn.XLOOKUP(SessionMovements[[#This Row],[MovementID]], MovementLibrary[MovementID], MovementLibrary[Modality], "")
)</f>
        <v>Gymnastics</v>
      </c>
      <c r="E794" s="5" t="str">
        <f>IF(SessionMovements[[#This Row],[MovementID]]="","",
   _xlfn.XLOOKUP(SessionMovements[[#This Row],[MovementID]], MovementLibrary[MovementID], MovementLibrary[Unit], "")
)</f>
        <v>reps</v>
      </c>
      <c r="F7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4">
        <v>2</v>
      </c>
      <c r="H794">
        <v>10</v>
      </c>
      <c r="L794" s="5" t="str">
        <f>IF(COUNTIF(Sessions[SessionID],SessionMovements[[#This Row],[SessionID]])=0,"❌ Missing","✔ OK")</f>
        <v>✔ OK</v>
      </c>
    </row>
    <row r="795" spans="1:12" x14ac:dyDescent="0.3">
      <c r="A795" t="s">
        <v>1237</v>
      </c>
      <c r="B795" t="s">
        <v>530</v>
      </c>
      <c r="C795" t="str">
        <f>IF(SessionMovements[[#This Row],[MovementID]]="","",
   _xlfn.XLOOKUP(SessionMovements[[#This Row],[MovementID]],MovementLibrary[MovementID],MovementLibrary[Name],"")
)</f>
        <v>Hollow Hold</v>
      </c>
      <c r="D795" s="5" t="str">
        <f>IF(SessionMovements[[#This Row],[MovementID]]="","",
   _xlfn.XLOOKUP(SessionMovements[[#This Row],[MovementID]], MovementLibrary[MovementID], MovementLibrary[Modality], "")
)</f>
        <v>Gymnastics</v>
      </c>
      <c r="E795" s="5" t="str">
        <f>IF(SessionMovements[[#This Row],[MovementID]]="","",
   _xlfn.XLOOKUP(SessionMovements[[#This Row],[MovementID]], MovementLibrary[MovementID], MovementLibrary[Unit], "")
)</f>
        <v>sec</v>
      </c>
      <c r="F7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5">
        <v>2</v>
      </c>
      <c r="H795">
        <v>30</v>
      </c>
      <c r="L795" s="5" t="str">
        <f>IF(COUNTIF(Sessions[SessionID],SessionMovements[[#This Row],[SessionID]])=0,"❌ Missing","✔ OK")</f>
        <v>✔ OK</v>
      </c>
    </row>
    <row r="796" spans="1:12" x14ac:dyDescent="0.3">
      <c r="A796" t="s">
        <v>1238</v>
      </c>
      <c r="B796" t="s">
        <v>260</v>
      </c>
      <c r="C796" t="str">
        <f>IF(SessionMovements[[#This Row],[MovementID]]="","",
   _xlfn.XLOOKUP(SessionMovements[[#This Row],[MovementID]],MovementLibrary[MovementID],MovementLibrary[Name],"")
)</f>
        <v>Snatch</v>
      </c>
      <c r="D796" s="5" t="str">
        <f>IF(SessionMovements[[#This Row],[MovementID]]="","",
   _xlfn.XLOOKUP(SessionMovements[[#This Row],[MovementID]], MovementLibrary[MovementID], MovementLibrary[Modality], "")
)</f>
        <v>Barbell</v>
      </c>
      <c r="E796" s="5" t="str">
        <f>IF(SessionMovements[[#This Row],[MovementID]]="","",
   _xlfn.XLOOKUP(SessionMovements[[#This Row],[MovementID]], MovementLibrary[MovementID], MovementLibrary[Unit], "")
)</f>
        <v>kg</v>
      </c>
      <c r="F7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6">
        <v>5</v>
      </c>
      <c r="H796">
        <v>3</v>
      </c>
      <c r="J796">
        <v>75</v>
      </c>
      <c r="L796" s="5" t="str">
        <f>IF(COUNTIF(Sessions[SessionID],SessionMovements[[#This Row],[SessionID]])=0,"❌ Missing","✔ OK")</f>
        <v>✔ OK</v>
      </c>
    </row>
    <row r="797" spans="1:12" x14ac:dyDescent="0.3">
      <c r="A797" t="s">
        <v>1238</v>
      </c>
      <c r="B797" t="s">
        <v>263</v>
      </c>
      <c r="C797" t="str">
        <f>IF(SessionMovements[[#This Row],[MovementID]]="","",
   _xlfn.XLOOKUP(SessionMovements[[#This Row],[MovementID]],MovementLibrary[MovementID],MovementLibrary[Name],"")
)</f>
        <v>Split Jerk</v>
      </c>
      <c r="D797" s="5" t="str">
        <f>IF(SessionMovements[[#This Row],[MovementID]]="","",
   _xlfn.XLOOKUP(SessionMovements[[#This Row],[MovementID]], MovementLibrary[MovementID], MovementLibrary[Modality], "")
)</f>
        <v>Barbell</v>
      </c>
      <c r="E797" s="5" t="str">
        <f>IF(SessionMovements[[#This Row],[MovementID]]="","",
   _xlfn.XLOOKUP(SessionMovements[[#This Row],[MovementID]], MovementLibrary[MovementID], MovementLibrary[Unit], "")
)</f>
        <v>kg</v>
      </c>
      <c r="F7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7">
        <v>5</v>
      </c>
      <c r="H797">
        <v>3</v>
      </c>
      <c r="J797">
        <v>75</v>
      </c>
      <c r="L797" s="5" t="str">
        <f>IF(COUNTIF(Sessions[SessionID],SessionMovements[[#This Row],[SessionID]])=0,"❌ Missing","✔ OK")</f>
        <v>✔ OK</v>
      </c>
    </row>
    <row r="798" spans="1:12" x14ac:dyDescent="0.3">
      <c r="A798" t="s">
        <v>1238</v>
      </c>
      <c r="B798" t="s">
        <v>296</v>
      </c>
      <c r="C798" t="str">
        <f>IF(SessionMovements[[#This Row],[MovementID]]="","",
   _xlfn.XLOOKUP(SessionMovements[[#This Row],[MovementID]],MovementLibrary[MovementID],MovementLibrary[Name],"")
)</f>
        <v>Front Squat</v>
      </c>
      <c r="D798" s="5" t="str">
        <f>IF(SessionMovements[[#This Row],[MovementID]]="","",
   _xlfn.XLOOKUP(SessionMovements[[#This Row],[MovementID]], MovementLibrary[MovementID], MovementLibrary[Modality], "")
)</f>
        <v>Barbell</v>
      </c>
      <c r="E798" s="5" t="str">
        <f>IF(SessionMovements[[#This Row],[MovementID]]="","",
   _xlfn.XLOOKUP(SessionMovements[[#This Row],[MovementID]], MovementLibrary[MovementID], MovementLibrary[Unit], "")
)</f>
        <v>kg</v>
      </c>
      <c r="F7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8">
        <v>5</v>
      </c>
      <c r="H798">
        <v>3</v>
      </c>
      <c r="J798">
        <v>75</v>
      </c>
      <c r="L798" s="5" t="str">
        <f>IF(COUNTIF(Sessions[SessionID],SessionMovements[[#This Row],[SessionID]])=0,"❌ Missing","✔ OK")</f>
        <v>✔ OK</v>
      </c>
    </row>
    <row r="799" spans="1:12" x14ac:dyDescent="0.3">
      <c r="A799" t="s">
        <v>1238</v>
      </c>
      <c r="B799" t="s">
        <v>654</v>
      </c>
      <c r="C799" t="str">
        <f>IF(SessionMovements[[#This Row],[MovementID]]="","",
   _xlfn.XLOOKUP(SessionMovements[[#This Row],[MovementID]],MovementLibrary[MovementID],MovementLibrary[Name],"")
)</f>
        <v>Snatch Deadlift</v>
      </c>
      <c r="D799" s="5" t="str">
        <f>IF(SessionMovements[[#This Row],[MovementID]]="","",
   _xlfn.XLOOKUP(SessionMovements[[#This Row],[MovementID]], MovementLibrary[MovementID], MovementLibrary[Modality], "")
)</f>
        <v>Barbell</v>
      </c>
      <c r="E799" s="5" t="str">
        <f>IF(SessionMovements[[#This Row],[MovementID]]="","",
   _xlfn.XLOOKUP(SessionMovements[[#This Row],[MovementID]], MovementLibrary[MovementID], MovementLibrary[Unit], "")
)</f>
        <v>kg</v>
      </c>
      <c r="F7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799">
        <v>3</v>
      </c>
      <c r="H799">
        <v>5</v>
      </c>
      <c r="J799">
        <v>100</v>
      </c>
      <c r="L799" s="5" t="str">
        <f>IF(COUNTIF(Sessions[SessionID],SessionMovements[[#This Row],[SessionID]])=0,"❌ Missing","✔ OK")</f>
        <v>✔ OK</v>
      </c>
    </row>
    <row r="800" spans="1:12" x14ac:dyDescent="0.3">
      <c r="A800" t="s">
        <v>1238</v>
      </c>
      <c r="B800" t="s">
        <v>735</v>
      </c>
      <c r="C800" t="str">
        <f>IF(SessionMovements[[#This Row],[MovementID]]="","",
   _xlfn.XLOOKUP(SessionMovements[[#This Row],[MovementID]],MovementLibrary[MovementID],MovementLibrary[Name],"")
)</f>
        <v>Hollow Rock</v>
      </c>
      <c r="D800" s="5" t="str">
        <f>IF(SessionMovements[[#This Row],[MovementID]]="","",
   _xlfn.XLOOKUP(SessionMovements[[#This Row],[MovementID]], MovementLibrary[MovementID], MovementLibrary[Modality], "")
)</f>
        <v>Gymnastics</v>
      </c>
      <c r="E800" s="5" t="str">
        <f>IF(SessionMovements[[#This Row],[MovementID]]="","",
   _xlfn.XLOOKUP(SessionMovements[[#This Row],[MovementID]], MovementLibrary[MovementID], MovementLibrary[Unit], "")
)</f>
        <v>reps</v>
      </c>
      <c r="F8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0">
        <v>3</v>
      </c>
      <c r="H800">
        <v>20</v>
      </c>
      <c r="K800" t="s">
        <v>1239</v>
      </c>
      <c r="L800" s="5" t="str">
        <f>IF(COUNTIF(Sessions[SessionID],SessionMovements[[#This Row],[SessionID]])=0,"❌ Missing","✔ OK")</f>
        <v>✔ OK</v>
      </c>
    </row>
    <row r="801" spans="1:12" x14ac:dyDescent="0.3">
      <c r="A801" t="s">
        <v>1240</v>
      </c>
      <c r="B801" t="s">
        <v>795</v>
      </c>
      <c r="C801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01" s="5" t="str">
        <f>IF(SessionMovements[[#This Row],[MovementID]]="","",
   _xlfn.XLOOKUP(SessionMovements[[#This Row],[MovementID]], MovementLibrary[MovementID], MovementLibrary[Modality], "")
)</f>
        <v>Barbell</v>
      </c>
      <c r="E801" s="5" t="str">
        <f>IF(SessionMovements[[#This Row],[MovementID]]="","",
   _xlfn.XLOOKUP(SessionMovements[[#This Row],[MovementID]], MovementLibrary[MovementID], MovementLibrary[Unit], "")
)</f>
        <v>kg</v>
      </c>
      <c r="F8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1">
        <v>3</v>
      </c>
      <c r="H801" t="s">
        <v>1241</v>
      </c>
      <c r="J801">
        <v>70</v>
      </c>
      <c r="L801" s="5" t="str">
        <f>IF(COUNTIF(Sessions[SessionID],SessionMovements[[#This Row],[SessionID]])=0,"❌ Missing","✔ OK")</f>
        <v>✔ OK</v>
      </c>
    </row>
    <row r="802" spans="1:12" x14ac:dyDescent="0.3">
      <c r="A802" t="s">
        <v>1240</v>
      </c>
      <c r="B802" t="s">
        <v>795</v>
      </c>
      <c r="C802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02" s="5" t="str">
        <f>IF(SessionMovements[[#This Row],[MovementID]]="","",
   _xlfn.XLOOKUP(SessionMovements[[#This Row],[MovementID]], MovementLibrary[MovementID], MovementLibrary[Modality], "")
)</f>
        <v>Barbell</v>
      </c>
      <c r="E802" s="5" t="str">
        <f>IF(SessionMovements[[#This Row],[MovementID]]="","",
   _xlfn.XLOOKUP(SessionMovements[[#This Row],[MovementID]], MovementLibrary[MovementID], MovementLibrary[Unit], "")
)</f>
        <v>kg</v>
      </c>
      <c r="F8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2">
        <v>2</v>
      </c>
      <c r="H802" t="s">
        <v>1241</v>
      </c>
      <c r="J802">
        <v>70</v>
      </c>
      <c r="L802" s="5" t="str">
        <f>IF(COUNTIF(Sessions[SessionID],SessionMovements[[#This Row],[SessionID]])=0,"❌ Missing","✔ OK")</f>
        <v>✔ OK</v>
      </c>
    </row>
    <row r="803" spans="1:12" x14ac:dyDescent="0.3">
      <c r="A803" t="s">
        <v>1240</v>
      </c>
      <c r="B803" t="s">
        <v>797</v>
      </c>
      <c r="C803" t="str">
        <f>IF(SessionMovements[[#This Row],[MovementID]]="","",
   _xlfn.XLOOKUP(SessionMovements[[#This Row],[MovementID]],MovementLibrary[MovementID],MovementLibrary[Name],"")
)</f>
        <v>Power Clean + Power Jerk</v>
      </c>
      <c r="D803" s="5" t="str">
        <f>IF(SessionMovements[[#This Row],[MovementID]]="","",
   _xlfn.XLOOKUP(SessionMovements[[#This Row],[MovementID]], MovementLibrary[MovementID], MovementLibrary[Modality], "")
)</f>
        <v>Barbell</v>
      </c>
      <c r="E803" s="5" t="str">
        <f>IF(SessionMovements[[#This Row],[MovementID]]="","",
   _xlfn.XLOOKUP(SessionMovements[[#This Row],[MovementID]], MovementLibrary[MovementID], MovementLibrary[Unit], "")
)</f>
        <v>kg</v>
      </c>
      <c r="F8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3">
        <v>3</v>
      </c>
      <c r="H803" t="s">
        <v>1242</v>
      </c>
      <c r="J803">
        <v>70</v>
      </c>
      <c r="L803" s="5" t="str">
        <f>IF(COUNTIF(Sessions[SessionID],SessionMovements[[#This Row],[SessionID]])=0,"❌ Missing","✔ OK")</f>
        <v>✔ OK</v>
      </c>
    </row>
    <row r="804" spans="1:12" x14ac:dyDescent="0.3">
      <c r="A804" t="s">
        <v>1240</v>
      </c>
      <c r="B804" t="s">
        <v>797</v>
      </c>
      <c r="C804" t="str">
        <f>IF(SessionMovements[[#This Row],[MovementID]]="","",
   _xlfn.XLOOKUP(SessionMovements[[#This Row],[MovementID]],MovementLibrary[MovementID],MovementLibrary[Name],"")
)</f>
        <v>Power Clean + Power Jerk</v>
      </c>
      <c r="D804" s="5" t="str">
        <f>IF(SessionMovements[[#This Row],[MovementID]]="","",
   _xlfn.XLOOKUP(SessionMovements[[#This Row],[MovementID]], MovementLibrary[MovementID], MovementLibrary[Modality], "")
)</f>
        <v>Barbell</v>
      </c>
      <c r="E804" s="5" t="str">
        <f>IF(SessionMovements[[#This Row],[MovementID]]="","",
   _xlfn.XLOOKUP(SessionMovements[[#This Row],[MovementID]], MovementLibrary[MovementID], MovementLibrary[Unit], "")
)</f>
        <v>kg</v>
      </c>
      <c r="F8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4">
        <v>2</v>
      </c>
      <c r="H804" t="s">
        <v>1242</v>
      </c>
      <c r="J804">
        <v>75</v>
      </c>
      <c r="L804" s="5" t="str">
        <f>IF(COUNTIF(Sessions[SessionID],SessionMovements[[#This Row],[SessionID]])=0,"❌ Missing","✔ OK")</f>
        <v>✔ OK</v>
      </c>
    </row>
    <row r="805" spans="1:12" x14ac:dyDescent="0.3">
      <c r="A805" t="s">
        <v>1240</v>
      </c>
      <c r="B805" t="s">
        <v>534</v>
      </c>
      <c r="C805" t="str">
        <f>IF(SessionMovements[[#This Row],[MovementID]]="","",
   _xlfn.XLOOKUP(SessionMovements[[#This Row],[MovementID]],MovementLibrary[MovementID],MovementLibrary[Name],"")
)</f>
        <v>Snatch Pull</v>
      </c>
      <c r="D805" s="5" t="str">
        <f>IF(SessionMovements[[#This Row],[MovementID]]="","",
   _xlfn.XLOOKUP(SessionMovements[[#This Row],[MovementID]], MovementLibrary[MovementID], MovementLibrary[Modality], "")
)</f>
        <v>Barbell</v>
      </c>
      <c r="E805" s="5" t="str">
        <f>IF(SessionMovements[[#This Row],[MovementID]]="","",
   _xlfn.XLOOKUP(SessionMovements[[#This Row],[MovementID]], MovementLibrary[MovementID], MovementLibrary[Unit], "")
)</f>
        <v>kg</v>
      </c>
      <c r="F8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5">
        <v>2</v>
      </c>
      <c r="H805">
        <v>3</v>
      </c>
      <c r="J805">
        <v>90</v>
      </c>
      <c r="L805" s="5" t="str">
        <f>IF(COUNTIF(Sessions[SessionID],SessionMovements[[#This Row],[SessionID]])=0,"❌ Missing","✔ OK")</f>
        <v>✔ OK</v>
      </c>
    </row>
    <row r="806" spans="1:12" x14ac:dyDescent="0.3">
      <c r="A806" t="s">
        <v>1240</v>
      </c>
      <c r="B806" t="s">
        <v>534</v>
      </c>
      <c r="C806" t="str">
        <f>IF(SessionMovements[[#This Row],[MovementID]]="","",
   _xlfn.XLOOKUP(SessionMovements[[#This Row],[MovementID]],MovementLibrary[MovementID],MovementLibrary[Name],"")
)</f>
        <v>Snatch Pull</v>
      </c>
      <c r="D806" s="5" t="str">
        <f>IF(SessionMovements[[#This Row],[MovementID]]="","",
   _xlfn.XLOOKUP(SessionMovements[[#This Row],[MovementID]], MovementLibrary[MovementID], MovementLibrary[Modality], "")
)</f>
        <v>Barbell</v>
      </c>
      <c r="E806" s="5" t="str">
        <f>IF(SessionMovements[[#This Row],[MovementID]]="","",
   _xlfn.XLOOKUP(SessionMovements[[#This Row],[MovementID]], MovementLibrary[MovementID], MovementLibrary[Unit], "")
)</f>
        <v>kg</v>
      </c>
      <c r="F8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6">
        <v>3</v>
      </c>
      <c r="H806">
        <v>3</v>
      </c>
      <c r="J806">
        <v>95</v>
      </c>
      <c r="L806" s="5" t="str">
        <f>IF(COUNTIF(Sessions[SessionID],SessionMovements[[#This Row],[SessionID]])=0,"❌ Missing","✔ OK")</f>
        <v>✔ OK</v>
      </c>
    </row>
    <row r="807" spans="1:12" x14ac:dyDescent="0.3">
      <c r="A807" t="s">
        <v>1240</v>
      </c>
      <c r="B807" t="s">
        <v>756</v>
      </c>
      <c r="C807" t="str">
        <f>IF(SessionMovements[[#This Row],[MovementID]]="","",
   _xlfn.XLOOKUP(SessionMovements[[#This Row],[MovementID]],MovementLibrary[MovementID],MovementLibrary[Name],"")
)</f>
        <v>Ab Wheel Rollout</v>
      </c>
      <c r="D807" s="5" t="str">
        <f>IF(SessionMovements[[#This Row],[MovementID]]="","",
   _xlfn.XLOOKUP(SessionMovements[[#This Row],[MovementID]], MovementLibrary[MovementID], MovementLibrary[Modality], "")
)</f>
        <v>Gymnastics</v>
      </c>
      <c r="E807" s="5" t="str">
        <f>IF(SessionMovements[[#This Row],[MovementID]]="","",
   _xlfn.XLOOKUP(SessionMovements[[#This Row],[MovementID]], MovementLibrary[MovementID], MovementLibrary[Unit], "")
)</f>
        <v>reps</v>
      </c>
      <c r="F8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7">
        <v>3</v>
      </c>
      <c r="H807">
        <v>20</v>
      </c>
      <c r="K807" t="s">
        <v>1239</v>
      </c>
      <c r="L807" s="5" t="str">
        <f>IF(COUNTIF(Sessions[SessionID],SessionMovements[[#This Row],[SessionID]])=0,"❌ Missing","✔ OK")</f>
        <v>✔ OK</v>
      </c>
    </row>
    <row r="808" spans="1:12" x14ac:dyDescent="0.3">
      <c r="A808" t="s">
        <v>1243</v>
      </c>
      <c r="B808" t="s">
        <v>264</v>
      </c>
      <c r="C808" t="str">
        <f>IF(SessionMovements[[#This Row],[MovementID]]="","",
   _xlfn.XLOOKUP(SessionMovements[[#This Row],[MovementID]],MovementLibrary[MovementID],MovementLibrary[Name],"")
)</f>
        <v>Clean</v>
      </c>
      <c r="D808" s="5" t="str">
        <f>IF(SessionMovements[[#This Row],[MovementID]]="","",
   _xlfn.XLOOKUP(SessionMovements[[#This Row],[MovementID]], MovementLibrary[MovementID], MovementLibrary[Modality], "")
)</f>
        <v>Barbell</v>
      </c>
      <c r="E808" s="5" t="str">
        <f>IF(SessionMovements[[#This Row],[MovementID]]="","",
   _xlfn.XLOOKUP(SessionMovements[[#This Row],[MovementID]], MovementLibrary[MovementID], MovementLibrary[Unit], "")
)</f>
        <v>kg</v>
      </c>
      <c r="F8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8">
        <v>5</v>
      </c>
      <c r="H808">
        <v>3</v>
      </c>
      <c r="J808">
        <v>75</v>
      </c>
      <c r="L808" s="5" t="str">
        <f>IF(COUNTIF(Sessions[SessionID],SessionMovements[[#This Row],[SessionID]])=0,"❌ Missing","✔ OK")</f>
        <v>✔ OK</v>
      </c>
    </row>
    <row r="809" spans="1:12" x14ac:dyDescent="0.3">
      <c r="A809" t="s">
        <v>1243</v>
      </c>
      <c r="B809" t="s">
        <v>804</v>
      </c>
      <c r="C809" t="str">
        <f>IF(SessionMovements[[#This Row],[MovementID]]="","",
   _xlfn.XLOOKUP(SessionMovements[[#This Row],[MovementID]],MovementLibrary[MovementID],MovementLibrary[Name],"")
)</f>
        <v>Jerk Behind Neck</v>
      </c>
      <c r="D809" s="5" t="str">
        <f>IF(SessionMovements[[#This Row],[MovementID]]="","",
   _xlfn.XLOOKUP(SessionMovements[[#This Row],[MovementID]], MovementLibrary[MovementID], MovementLibrary[Modality], "")
)</f>
        <v>Barbell</v>
      </c>
      <c r="E809" s="5" t="str">
        <f>IF(SessionMovements[[#This Row],[MovementID]]="","",
   _xlfn.XLOOKUP(SessionMovements[[#This Row],[MovementID]], MovementLibrary[MovementID], MovementLibrary[Unit], "")
)</f>
        <v>kg</v>
      </c>
      <c r="F8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09">
        <v>5</v>
      </c>
      <c r="H809">
        <v>3</v>
      </c>
      <c r="J809">
        <v>75</v>
      </c>
      <c r="L809" s="5" t="str">
        <f>IF(COUNTIF(Sessions[SessionID],SessionMovements[[#This Row],[SessionID]])=0,"❌ Missing","✔ OK")</f>
        <v>✔ OK</v>
      </c>
    </row>
    <row r="810" spans="1:12" x14ac:dyDescent="0.3">
      <c r="A810" t="s">
        <v>1243</v>
      </c>
      <c r="B810" t="s">
        <v>298</v>
      </c>
      <c r="C810" t="str">
        <f>IF(SessionMovements[[#This Row],[MovementID]]="","",
   _xlfn.XLOOKUP(SessionMovements[[#This Row],[MovementID]],MovementLibrary[MovementID],MovementLibrary[Name],"")
)</f>
        <v>Back Squat</v>
      </c>
      <c r="D810" s="5" t="str">
        <f>IF(SessionMovements[[#This Row],[MovementID]]="","",
   _xlfn.XLOOKUP(SessionMovements[[#This Row],[MovementID]], MovementLibrary[MovementID], MovementLibrary[Modality], "")
)</f>
        <v>Barbell</v>
      </c>
      <c r="E810" s="5" t="str">
        <f>IF(SessionMovements[[#This Row],[MovementID]]="","",
   _xlfn.XLOOKUP(SessionMovements[[#This Row],[MovementID]], MovementLibrary[MovementID], MovementLibrary[Unit], "")
)</f>
        <v>kg</v>
      </c>
      <c r="F8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0">
        <v>5</v>
      </c>
      <c r="H810">
        <v>2</v>
      </c>
      <c r="J810">
        <v>70</v>
      </c>
      <c r="L810" s="5" t="str">
        <f>IF(COUNTIF(Sessions[SessionID],SessionMovements[[#This Row],[SessionID]])=0,"❌ Missing","✔ OK")</f>
        <v>✔ OK</v>
      </c>
    </row>
    <row r="811" spans="1:12" x14ac:dyDescent="0.3">
      <c r="A811" t="s">
        <v>1243</v>
      </c>
      <c r="B811" t="s">
        <v>537</v>
      </c>
      <c r="C811" t="str">
        <f>IF(SessionMovements[[#This Row],[MovementID]]="","",
   _xlfn.XLOOKUP(SessionMovements[[#This Row],[MovementID]],MovementLibrary[MovementID],MovementLibrary[Name],"")
)</f>
        <v>Clean Pull</v>
      </c>
      <c r="D811" s="5" t="str">
        <f>IF(SessionMovements[[#This Row],[MovementID]]="","",
   _xlfn.XLOOKUP(SessionMovements[[#This Row],[MovementID]], MovementLibrary[MovementID], MovementLibrary[Modality], "")
)</f>
        <v>Barbell</v>
      </c>
      <c r="E811" s="5" t="str">
        <f>IF(SessionMovements[[#This Row],[MovementID]]="","",
   _xlfn.XLOOKUP(SessionMovements[[#This Row],[MovementID]], MovementLibrary[MovementID], MovementLibrary[Unit], "")
)</f>
        <v>kg</v>
      </c>
      <c r="F8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1">
        <v>2</v>
      </c>
      <c r="H811">
        <v>3</v>
      </c>
      <c r="J811">
        <v>90</v>
      </c>
      <c r="L811" s="5" t="str">
        <f>IF(COUNTIF(Sessions[SessionID],SessionMovements[[#This Row],[SessionID]])=0,"❌ Missing","✔ OK")</f>
        <v>✔ OK</v>
      </c>
    </row>
    <row r="812" spans="1:12" x14ac:dyDescent="0.3">
      <c r="A812" t="s">
        <v>1243</v>
      </c>
      <c r="B812" t="s">
        <v>537</v>
      </c>
      <c r="C812" t="str">
        <f>IF(SessionMovements[[#This Row],[MovementID]]="","",
   _xlfn.XLOOKUP(SessionMovements[[#This Row],[MovementID]],MovementLibrary[MovementID],MovementLibrary[Name],"")
)</f>
        <v>Clean Pull</v>
      </c>
      <c r="D812" s="5" t="str">
        <f>IF(SessionMovements[[#This Row],[MovementID]]="","",
   _xlfn.XLOOKUP(SessionMovements[[#This Row],[MovementID]], MovementLibrary[MovementID], MovementLibrary[Modality], "")
)</f>
        <v>Barbell</v>
      </c>
      <c r="E812" s="5" t="str">
        <f>IF(SessionMovements[[#This Row],[MovementID]]="","",
   _xlfn.XLOOKUP(SessionMovements[[#This Row],[MovementID]], MovementLibrary[MovementID], MovementLibrary[Unit], "")
)</f>
        <v>kg</v>
      </c>
      <c r="F8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2">
        <v>2</v>
      </c>
      <c r="H812">
        <v>3</v>
      </c>
      <c r="J812">
        <v>95</v>
      </c>
      <c r="L812" s="5" t="str">
        <f>IF(COUNTIF(Sessions[SessionID],SessionMovements[[#This Row],[SessionID]])=0,"❌ Missing","✔ OK")</f>
        <v>✔ OK</v>
      </c>
    </row>
    <row r="813" spans="1:12" x14ac:dyDescent="0.3">
      <c r="A813" t="s">
        <v>1243</v>
      </c>
      <c r="B813" t="s">
        <v>756</v>
      </c>
      <c r="C813" t="str">
        <f>IF(SessionMovements[[#This Row],[MovementID]]="","",
   _xlfn.XLOOKUP(SessionMovements[[#This Row],[MovementID]],MovementLibrary[MovementID],MovementLibrary[Name],"")
)</f>
        <v>Ab Wheel Rollout</v>
      </c>
      <c r="D813" s="5" t="str">
        <f>IF(SessionMovements[[#This Row],[MovementID]]="","",
   _xlfn.XLOOKUP(SessionMovements[[#This Row],[MovementID]], MovementLibrary[MovementID], MovementLibrary[Modality], "")
)</f>
        <v>Gymnastics</v>
      </c>
      <c r="E813" s="5" t="str">
        <f>IF(SessionMovements[[#This Row],[MovementID]]="","",
   _xlfn.XLOOKUP(SessionMovements[[#This Row],[MovementID]], MovementLibrary[MovementID], MovementLibrary[Unit], "")
)</f>
        <v>reps</v>
      </c>
      <c r="F8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3">
        <v>3</v>
      </c>
      <c r="H813">
        <v>20</v>
      </c>
      <c r="K813" t="s">
        <v>1239</v>
      </c>
      <c r="L813" s="5" t="str">
        <f>IF(COUNTIF(Sessions[SessionID],SessionMovements[[#This Row],[SessionID]])=0,"❌ Missing","✔ OK")</f>
        <v>✔ OK</v>
      </c>
    </row>
    <row r="814" spans="1:12" x14ac:dyDescent="0.3">
      <c r="A814" t="s">
        <v>1244</v>
      </c>
      <c r="B814" t="s">
        <v>800</v>
      </c>
      <c r="C814" t="str">
        <f>IF(SessionMovements[[#This Row],[MovementID]]="","",
   _xlfn.XLOOKUP(SessionMovements[[#This Row],[MovementID]],MovementLibrary[MovementID],MovementLibrary[Name],"")
)</f>
        <v>Power Clean + Push Press</v>
      </c>
      <c r="D814" s="5" t="str">
        <f>IF(SessionMovements[[#This Row],[MovementID]]="","",
   _xlfn.XLOOKUP(SessionMovements[[#This Row],[MovementID]], MovementLibrary[MovementID], MovementLibrary[Modality], "")
)</f>
        <v>Barbell</v>
      </c>
      <c r="E814" s="5" t="str">
        <f>IF(SessionMovements[[#This Row],[MovementID]]="","",
   _xlfn.XLOOKUP(SessionMovements[[#This Row],[MovementID]], MovementLibrary[MovementID], MovementLibrary[Unit], "")
)</f>
        <v>kg</v>
      </c>
      <c r="F8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4">
        <v>5</v>
      </c>
      <c r="H814" t="s">
        <v>924</v>
      </c>
      <c r="J814">
        <v>75</v>
      </c>
      <c r="K814" t="s">
        <v>1245</v>
      </c>
      <c r="L814" s="5" t="str">
        <f>IF(COUNTIF(Sessions[SessionID],SessionMovements[[#This Row],[SessionID]])=0,"❌ Missing","✔ OK")</f>
        <v>✔ OK</v>
      </c>
    </row>
    <row r="815" spans="1:12" x14ac:dyDescent="0.3">
      <c r="A815" t="s">
        <v>1244</v>
      </c>
      <c r="B815" t="s">
        <v>292</v>
      </c>
      <c r="C815" t="str">
        <f>IF(SessionMovements[[#This Row],[MovementID]]="","",
   _xlfn.XLOOKUP(SessionMovements[[#This Row],[MovementID]],MovementLibrary[MovementID],MovementLibrary[Name],"")
)</f>
        <v>Push Press</v>
      </c>
      <c r="D815" s="5" t="str">
        <f>IF(SessionMovements[[#This Row],[MovementID]]="","",
   _xlfn.XLOOKUP(SessionMovements[[#This Row],[MovementID]], MovementLibrary[MovementID], MovementLibrary[Modality], "")
)</f>
        <v>Barbell</v>
      </c>
      <c r="E815" s="5" t="str">
        <f>IF(SessionMovements[[#This Row],[MovementID]]="","",
   _xlfn.XLOOKUP(SessionMovements[[#This Row],[MovementID]], MovementLibrary[MovementID], MovementLibrary[Unit], "")
)</f>
        <v>kg</v>
      </c>
      <c r="F8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5">
        <v>5</v>
      </c>
      <c r="H815" t="s">
        <v>979</v>
      </c>
      <c r="J815">
        <v>70</v>
      </c>
      <c r="K815" t="s">
        <v>1246</v>
      </c>
      <c r="L815" s="5" t="str">
        <f>IF(COUNTIF(Sessions[SessionID],SessionMovements[[#This Row],[SessionID]])=0,"❌ Missing","✔ OK")</f>
        <v>✔ OK</v>
      </c>
    </row>
    <row r="816" spans="1:12" x14ac:dyDescent="0.3">
      <c r="A816" t="s">
        <v>1244</v>
      </c>
      <c r="B816" t="s">
        <v>534</v>
      </c>
      <c r="C816" t="str">
        <f>IF(SessionMovements[[#This Row],[MovementID]]="","",
   _xlfn.XLOOKUP(SessionMovements[[#This Row],[MovementID]],MovementLibrary[MovementID],MovementLibrary[Name],"")
)</f>
        <v>Snatch Pull</v>
      </c>
      <c r="D816" s="5" t="str">
        <f>IF(SessionMovements[[#This Row],[MovementID]]="","",
   _xlfn.XLOOKUP(SessionMovements[[#This Row],[MovementID]], MovementLibrary[MovementID], MovementLibrary[Modality], "")
)</f>
        <v>Barbell</v>
      </c>
      <c r="E816" s="5" t="str">
        <f>IF(SessionMovements[[#This Row],[MovementID]]="","",
   _xlfn.XLOOKUP(SessionMovements[[#This Row],[MovementID]], MovementLibrary[MovementID], MovementLibrary[Unit], "")
)</f>
        <v>kg</v>
      </c>
      <c r="F8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6">
        <v>5</v>
      </c>
      <c r="H816">
        <v>3</v>
      </c>
      <c r="J816">
        <v>90</v>
      </c>
      <c r="L816" s="5" t="str">
        <f>IF(COUNTIF(Sessions[SessionID],SessionMovements[[#This Row],[SessionID]])=0,"❌ Missing","✔ OK")</f>
        <v>✔ OK</v>
      </c>
    </row>
    <row r="817" spans="1:12" x14ac:dyDescent="0.3">
      <c r="A817" t="s">
        <v>1244</v>
      </c>
      <c r="B817" t="s">
        <v>735</v>
      </c>
      <c r="C817" t="str">
        <f>IF(SessionMovements[[#This Row],[MovementID]]="","",
   _xlfn.XLOOKUP(SessionMovements[[#This Row],[MovementID]],MovementLibrary[MovementID],MovementLibrary[Name],"")
)</f>
        <v>Hollow Rock</v>
      </c>
      <c r="D817" s="5" t="str">
        <f>IF(SessionMovements[[#This Row],[MovementID]]="","",
   _xlfn.XLOOKUP(SessionMovements[[#This Row],[MovementID]], MovementLibrary[MovementID], MovementLibrary[Modality], "")
)</f>
        <v>Gymnastics</v>
      </c>
      <c r="E817" s="5" t="str">
        <f>IF(SessionMovements[[#This Row],[MovementID]]="","",
   _xlfn.XLOOKUP(SessionMovements[[#This Row],[MovementID]], MovementLibrary[MovementID], MovementLibrary[Unit], "")
)</f>
        <v>reps</v>
      </c>
      <c r="F8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7">
        <v>3</v>
      </c>
      <c r="H817">
        <v>20</v>
      </c>
      <c r="K817" t="s">
        <v>1239</v>
      </c>
      <c r="L817" s="5" t="str">
        <f>IF(COUNTIF(Sessions[SessionID],SessionMovements[[#This Row],[SessionID]])=0,"❌ Missing","✔ OK")</f>
        <v>✔ OK</v>
      </c>
    </row>
    <row r="818" spans="1:12" x14ac:dyDescent="0.3">
      <c r="A818" t="s">
        <v>1247</v>
      </c>
      <c r="B818" t="s">
        <v>296</v>
      </c>
      <c r="C818" t="str">
        <f>IF(SessionMovements[[#This Row],[MovementID]]="","",
   _xlfn.XLOOKUP(SessionMovements[[#This Row],[MovementID]],MovementLibrary[MovementID],MovementLibrary[Name],"")
)</f>
        <v>Front Squat</v>
      </c>
      <c r="D818" s="5" t="str">
        <f>IF(SessionMovements[[#This Row],[MovementID]]="","",
   _xlfn.XLOOKUP(SessionMovements[[#This Row],[MovementID]], MovementLibrary[MovementID], MovementLibrary[Modality], "")
)</f>
        <v>Barbell</v>
      </c>
      <c r="E818" s="5" t="str">
        <f>IF(SessionMovements[[#This Row],[MovementID]]="","",
   _xlfn.XLOOKUP(SessionMovements[[#This Row],[MovementID]], MovementLibrary[MovementID], MovementLibrary[Unit], "")
)</f>
        <v>kg</v>
      </c>
      <c r="F8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8">
        <v>5</v>
      </c>
      <c r="H818">
        <v>3</v>
      </c>
      <c r="J818">
        <v>80</v>
      </c>
      <c r="L818" s="5" t="str">
        <f>IF(COUNTIF(Sessions[SessionID],SessionMovements[[#This Row],[SessionID]])=0,"❌ Missing","✔ OK")</f>
        <v>✔ OK</v>
      </c>
    </row>
    <row r="819" spans="1:12" x14ac:dyDescent="0.3">
      <c r="A819" t="s">
        <v>1247</v>
      </c>
      <c r="B819" t="s">
        <v>260</v>
      </c>
      <c r="C819" t="str">
        <f>IF(SessionMovements[[#This Row],[MovementID]]="","",
   _xlfn.XLOOKUP(SessionMovements[[#This Row],[MovementID]],MovementLibrary[MovementID],MovementLibrary[Name],"")
)</f>
        <v>Snatch</v>
      </c>
      <c r="D819" s="5" t="str">
        <f>IF(SessionMovements[[#This Row],[MovementID]]="","",
   _xlfn.XLOOKUP(SessionMovements[[#This Row],[MovementID]], MovementLibrary[MovementID], MovementLibrary[Modality], "")
)</f>
        <v>Barbell</v>
      </c>
      <c r="E819" s="5" t="str">
        <f>IF(SessionMovements[[#This Row],[MovementID]]="","",
   _xlfn.XLOOKUP(SessionMovements[[#This Row],[MovementID]], MovementLibrary[MovementID], MovementLibrary[Unit], "")
)</f>
        <v>kg</v>
      </c>
      <c r="F8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19">
        <v>1</v>
      </c>
      <c r="H819">
        <v>1</v>
      </c>
      <c r="K819" t="s">
        <v>1248</v>
      </c>
      <c r="L819" s="5" t="str">
        <f>IF(COUNTIF(Sessions[SessionID],SessionMovements[[#This Row],[SessionID]])=0,"❌ Missing","✔ OK")</f>
        <v>✔ OK</v>
      </c>
    </row>
    <row r="820" spans="1:12" x14ac:dyDescent="0.3">
      <c r="A820" t="s">
        <v>1247</v>
      </c>
      <c r="B820" t="s">
        <v>261</v>
      </c>
      <c r="C820" t="str">
        <f>IF(SessionMovements[[#This Row],[MovementID]]="","",
   _xlfn.XLOOKUP(SessionMovements[[#This Row],[MovementID]],MovementLibrary[MovementID],MovementLibrary[Name],"")
)</f>
        <v>Clean &amp; Jerk</v>
      </c>
      <c r="D820" s="5" t="str">
        <f>IF(SessionMovements[[#This Row],[MovementID]]="","",
   _xlfn.XLOOKUP(SessionMovements[[#This Row],[MovementID]], MovementLibrary[MovementID], MovementLibrary[Modality], "")
)</f>
        <v>Barbell</v>
      </c>
      <c r="E820" s="5" t="str">
        <f>IF(SessionMovements[[#This Row],[MovementID]]="","",
   _xlfn.XLOOKUP(SessionMovements[[#This Row],[MovementID]], MovementLibrary[MovementID], MovementLibrary[Unit], "")
)</f>
        <v>kg</v>
      </c>
      <c r="F8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0">
        <v>1</v>
      </c>
      <c r="H820" t="s">
        <v>1249</v>
      </c>
      <c r="K820" t="s">
        <v>1248</v>
      </c>
      <c r="L820" s="5" t="str">
        <f>IF(COUNTIF(Sessions[SessionID],SessionMovements[[#This Row],[SessionID]])=0,"❌ Missing","✔ OK")</f>
        <v>✔ OK</v>
      </c>
    </row>
    <row r="821" spans="1:12" x14ac:dyDescent="0.3">
      <c r="A821" t="s">
        <v>1247</v>
      </c>
      <c r="B821" t="s">
        <v>681</v>
      </c>
      <c r="C821" t="str">
        <f>IF(SessionMovements[[#This Row],[MovementID]]="","",
   _xlfn.XLOOKUP(SessionMovements[[#This Row],[MovementID]],MovementLibrary[MovementID],MovementLibrary[Name],"")
)</f>
        <v>Clean Deadlift</v>
      </c>
      <c r="D821" s="5" t="str">
        <f>IF(SessionMovements[[#This Row],[MovementID]]="","",
   _xlfn.XLOOKUP(SessionMovements[[#This Row],[MovementID]], MovementLibrary[MovementID], MovementLibrary[Modality], "")
)</f>
        <v>Barbell</v>
      </c>
      <c r="E821" s="5" t="str">
        <f>IF(SessionMovements[[#This Row],[MovementID]]="","",
   _xlfn.XLOOKUP(SessionMovements[[#This Row],[MovementID]], MovementLibrary[MovementID], MovementLibrary[Unit], "")
)</f>
        <v>kg</v>
      </c>
      <c r="F8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1">
        <v>3</v>
      </c>
      <c r="H821">
        <v>5</v>
      </c>
      <c r="J821">
        <v>100</v>
      </c>
      <c r="L821" s="5" t="str">
        <f>IF(COUNTIF(Sessions[SessionID],SessionMovements[[#This Row],[SessionID]])=0,"❌ Missing","✔ OK")</f>
        <v>✔ OK</v>
      </c>
    </row>
    <row r="822" spans="1:12" x14ac:dyDescent="0.3">
      <c r="A822" t="s">
        <v>1247</v>
      </c>
      <c r="B822" t="s">
        <v>756</v>
      </c>
      <c r="C822" t="str">
        <f>IF(SessionMovements[[#This Row],[MovementID]]="","",
   _xlfn.XLOOKUP(SessionMovements[[#This Row],[MovementID]],MovementLibrary[MovementID],MovementLibrary[Name],"")
)</f>
        <v>Ab Wheel Rollout</v>
      </c>
      <c r="D822" s="5" t="str">
        <f>IF(SessionMovements[[#This Row],[MovementID]]="","",
   _xlfn.XLOOKUP(SessionMovements[[#This Row],[MovementID]], MovementLibrary[MovementID], MovementLibrary[Modality], "")
)</f>
        <v>Gymnastics</v>
      </c>
      <c r="E822" s="5" t="str">
        <f>IF(SessionMovements[[#This Row],[MovementID]]="","",
   _xlfn.XLOOKUP(SessionMovements[[#This Row],[MovementID]], MovementLibrary[MovementID], MovementLibrary[Unit], "")
)</f>
        <v>reps</v>
      </c>
      <c r="F8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2">
        <v>3</v>
      </c>
      <c r="H822">
        <v>20</v>
      </c>
      <c r="K822" t="s">
        <v>1239</v>
      </c>
      <c r="L822" s="5" t="str">
        <f>IF(COUNTIF(Sessions[SessionID],SessionMovements[[#This Row],[SessionID]])=0,"❌ Missing","✔ OK")</f>
        <v>✔ OK</v>
      </c>
    </row>
    <row r="823" spans="1:12" x14ac:dyDescent="0.3">
      <c r="A823" t="s">
        <v>1250</v>
      </c>
      <c r="B823" t="s">
        <v>264</v>
      </c>
      <c r="C823" t="str">
        <f>IF(SessionMovements[[#This Row],[MovementID]]="","",
   _xlfn.XLOOKUP(SessionMovements[[#This Row],[MovementID]],MovementLibrary[MovementID],MovementLibrary[Name],"")
)</f>
        <v>Clean</v>
      </c>
      <c r="D823" s="5" t="str">
        <f>IF(SessionMovements[[#This Row],[MovementID]]="","",
   _xlfn.XLOOKUP(SessionMovements[[#This Row],[MovementID]], MovementLibrary[MovementID], MovementLibrary[Modality], "")
)</f>
        <v>Barbell</v>
      </c>
      <c r="E823" s="5" t="str">
        <f>IF(SessionMovements[[#This Row],[MovementID]]="","",
   _xlfn.XLOOKUP(SessionMovements[[#This Row],[MovementID]], MovementLibrary[MovementID], MovementLibrary[Unit], "")
)</f>
        <v>kg</v>
      </c>
      <c r="F8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3">
        <v>3</v>
      </c>
      <c r="H823">
        <v>3</v>
      </c>
      <c r="J823">
        <v>75</v>
      </c>
      <c r="L823" s="5" t="str">
        <f>IF(COUNTIF(Sessions[SessionID],SessionMovements[[#This Row],[SessionID]])=0,"❌ Missing","✔ OK")</f>
        <v>✔ OK</v>
      </c>
    </row>
    <row r="824" spans="1:12" x14ac:dyDescent="0.3">
      <c r="A824" t="s">
        <v>1250</v>
      </c>
      <c r="B824" t="s">
        <v>264</v>
      </c>
      <c r="C824" t="str">
        <f>IF(SessionMovements[[#This Row],[MovementID]]="","",
   _xlfn.XLOOKUP(SessionMovements[[#This Row],[MovementID]],MovementLibrary[MovementID],MovementLibrary[Name],"")
)</f>
        <v>Clean</v>
      </c>
      <c r="D824" s="5" t="str">
        <f>IF(SessionMovements[[#This Row],[MovementID]]="","",
   _xlfn.XLOOKUP(SessionMovements[[#This Row],[MovementID]], MovementLibrary[MovementID], MovementLibrary[Modality], "")
)</f>
        <v>Barbell</v>
      </c>
      <c r="E824" s="5" t="str">
        <f>IF(SessionMovements[[#This Row],[MovementID]]="","",
   _xlfn.XLOOKUP(SessionMovements[[#This Row],[MovementID]], MovementLibrary[MovementID], MovementLibrary[Unit], "")
)</f>
        <v>kg</v>
      </c>
      <c r="F8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4">
        <v>2</v>
      </c>
      <c r="H824">
        <v>2</v>
      </c>
      <c r="J824">
        <v>80</v>
      </c>
      <c r="L824" s="5" t="str">
        <f>IF(COUNTIF(Sessions[SessionID],SessionMovements[[#This Row],[SessionID]])=0,"❌ Missing","✔ OK")</f>
        <v>✔ OK</v>
      </c>
    </row>
    <row r="825" spans="1:12" x14ac:dyDescent="0.3">
      <c r="A825" t="s">
        <v>1250</v>
      </c>
      <c r="B825" t="s">
        <v>804</v>
      </c>
      <c r="C825" t="str">
        <f>IF(SessionMovements[[#This Row],[MovementID]]="","",
   _xlfn.XLOOKUP(SessionMovements[[#This Row],[MovementID]],MovementLibrary[MovementID],MovementLibrary[Name],"")
)</f>
        <v>Jerk Behind Neck</v>
      </c>
      <c r="D825" s="5" t="str">
        <f>IF(SessionMovements[[#This Row],[MovementID]]="","",
   _xlfn.XLOOKUP(SessionMovements[[#This Row],[MovementID]], MovementLibrary[MovementID], MovementLibrary[Modality], "")
)</f>
        <v>Barbell</v>
      </c>
      <c r="E825" s="5" t="str">
        <f>IF(SessionMovements[[#This Row],[MovementID]]="","",
   _xlfn.XLOOKUP(SessionMovements[[#This Row],[MovementID]], MovementLibrary[MovementID], MovementLibrary[Unit], "")
)</f>
        <v>kg</v>
      </c>
      <c r="F8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5">
        <v>3</v>
      </c>
      <c r="H825">
        <v>3</v>
      </c>
      <c r="J825">
        <v>75</v>
      </c>
      <c r="L825" s="5" t="str">
        <f>IF(COUNTIF(Sessions[SessionID],SessionMovements[[#This Row],[SessionID]])=0,"❌ Missing","✔ OK")</f>
        <v>✔ OK</v>
      </c>
    </row>
    <row r="826" spans="1:12" x14ac:dyDescent="0.3">
      <c r="A826" t="s">
        <v>1250</v>
      </c>
      <c r="B826" t="s">
        <v>804</v>
      </c>
      <c r="C826" t="str">
        <f>IF(SessionMovements[[#This Row],[MovementID]]="","",
   _xlfn.XLOOKUP(SessionMovements[[#This Row],[MovementID]],MovementLibrary[MovementID],MovementLibrary[Name],"")
)</f>
        <v>Jerk Behind Neck</v>
      </c>
      <c r="D826" s="5" t="str">
        <f>IF(SessionMovements[[#This Row],[MovementID]]="","",
   _xlfn.XLOOKUP(SessionMovements[[#This Row],[MovementID]], MovementLibrary[MovementID], MovementLibrary[Modality], "")
)</f>
        <v>Barbell</v>
      </c>
      <c r="E826" s="5" t="str">
        <f>IF(SessionMovements[[#This Row],[MovementID]]="","",
   _xlfn.XLOOKUP(SessionMovements[[#This Row],[MovementID]], MovementLibrary[MovementID], MovementLibrary[Unit], "")
)</f>
        <v>kg</v>
      </c>
      <c r="F8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6">
        <v>2</v>
      </c>
      <c r="H826">
        <v>3</v>
      </c>
      <c r="J826">
        <v>80</v>
      </c>
      <c r="L826" s="5" t="str">
        <f>IF(COUNTIF(Sessions[SessionID],SessionMovements[[#This Row],[SessionID]])=0,"❌ Missing","✔ OK")</f>
        <v>✔ OK</v>
      </c>
    </row>
    <row r="827" spans="1:12" x14ac:dyDescent="0.3">
      <c r="A827" t="s">
        <v>1250</v>
      </c>
      <c r="B827" t="s">
        <v>298</v>
      </c>
      <c r="C827" t="str">
        <f>IF(SessionMovements[[#This Row],[MovementID]]="","",
   _xlfn.XLOOKUP(SessionMovements[[#This Row],[MovementID]],MovementLibrary[MovementID],MovementLibrary[Name],"")
)</f>
        <v>Back Squat</v>
      </c>
      <c r="D827" s="5" t="str">
        <f>IF(SessionMovements[[#This Row],[MovementID]]="","",
   _xlfn.XLOOKUP(SessionMovements[[#This Row],[MovementID]], MovementLibrary[MovementID], MovementLibrary[Modality], "")
)</f>
        <v>Barbell</v>
      </c>
      <c r="E827" s="5" t="str">
        <f>IF(SessionMovements[[#This Row],[MovementID]]="","",
   _xlfn.XLOOKUP(SessionMovements[[#This Row],[MovementID]], MovementLibrary[MovementID], MovementLibrary[Unit], "")
)</f>
        <v>kg</v>
      </c>
      <c r="F8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7">
        <v>5</v>
      </c>
      <c r="H827">
        <v>2</v>
      </c>
      <c r="J827">
        <v>70</v>
      </c>
      <c r="L827" s="5" t="str">
        <f>IF(COUNTIF(Sessions[SessionID],SessionMovements[[#This Row],[SessionID]])=0,"❌ Missing","✔ OK")</f>
        <v>✔ OK</v>
      </c>
    </row>
    <row r="828" spans="1:12" x14ac:dyDescent="0.3">
      <c r="A828" t="s">
        <v>1250</v>
      </c>
      <c r="B828" t="s">
        <v>654</v>
      </c>
      <c r="C828" t="str">
        <f>IF(SessionMovements[[#This Row],[MovementID]]="","",
   _xlfn.XLOOKUP(SessionMovements[[#This Row],[MovementID]],MovementLibrary[MovementID],MovementLibrary[Name],"")
)</f>
        <v>Snatch Deadlift</v>
      </c>
      <c r="D828" s="5" t="str">
        <f>IF(SessionMovements[[#This Row],[MovementID]]="","",
   _xlfn.XLOOKUP(SessionMovements[[#This Row],[MovementID]], MovementLibrary[MovementID], MovementLibrary[Modality], "")
)</f>
        <v>Barbell</v>
      </c>
      <c r="E828" s="5" t="str">
        <f>IF(SessionMovements[[#This Row],[MovementID]]="","",
   _xlfn.XLOOKUP(SessionMovements[[#This Row],[MovementID]], MovementLibrary[MovementID], MovementLibrary[Unit], "")
)</f>
        <v>kg</v>
      </c>
      <c r="F8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8">
        <v>1</v>
      </c>
      <c r="H828">
        <v>5</v>
      </c>
      <c r="J828">
        <v>100</v>
      </c>
      <c r="L828" s="5" t="str">
        <f>IF(COUNTIF(Sessions[SessionID],SessionMovements[[#This Row],[SessionID]])=0,"❌ Missing","✔ OK")</f>
        <v>✔ OK</v>
      </c>
    </row>
    <row r="829" spans="1:12" x14ac:dyDescent="0.3">
      <c r="A829" t="s">
        <v>1250</v>
      </c>
      <c r="B829" t="s">
        <v>654</v>
      </c>
      <c r="C829" t="str">
        <f>IF(SessionMovements[[#This Row],[MovementID]]="","",
   _xlfn.XLOOKUP(SessionMovements[[#This Row],[MovementID]],MovementLibrary[MovementID],MovementLibrary[Name],"")
)</f>
        <v>Snatch Deadlift</v>
      </c>
      <c r="D829" s="5" t="str">
        <f>IF(SessionMovements[[#This Row],[MovementID]]="","",
   _xlfn.XLOOKUP(SessionMovements[[#This Row],[MovementID]], MovementLibrary[MovementID], MovementLibrary[Modality], "")
)</f>
        <v>Barbell</v>
      </c>
      <c r="E829" s="5" t="str">
        <f>IF(SessionMovements[[#This Row],[MovementID]]="","",
   _xlfn.XLOOKUP(SessionMovements[[#This Row],[MovementID]], MovementLibrary[MovementID], MovementLibrary[Unit], "")
)</f>
        <v>kg</v>
      </c>
      <c r="F8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29">
        <v>2</v>
      </c>
      <c r="H829">
        <v>5</v>
      </c>
      <c r="J829">
        <v>105</v>
      </c>
      <c r="L829" s="5" t="str">
        <f>IF(COUNTIF(Sessions[SessionID],SessionMovements[[#This Row],[SessionID]])=0,"❌ Missing","✔ OK")</f>
        <v>✔ OK</v>
      </c>
    </row>
    <row r="830" spans="1:12" x14ac:dyDescent="0.3">
      <c r="A830" t="s">
        <v>1250</v>
      </c>
      <c r="B830" t="s">
        <v>735</v>
      </c>
      <c r="C830" t="str">
        <f>IF(SessionMovements[[#This Row],[MovementID]]="","",
   _xlfn.XLOOKUP(SessionMovements[[#This Row],[MovementID]],MovementLibrary[MovementID],MovementLibrary[Name],"")
)</f>
        <v>Hollow Rock</v>
      </c>
      <c r="D830" s="5" t="str">
        <f>IF(SessionMovements[[#This Row],[MovementID]]="","",
   _xlfn.XLOOKUP(SessionMovements[[#This Row],[MovementID]], MovementLibrary[MovementID], MovementLibrary[Modality], "")
)</f>
        <v>Gymnastics</v>
      </c>
      <c r="E830" s="5" t="str">
        <f>IF(SessionMovements[[#This Row],[MovementID]]="","",
   _xlfn.XLOOKUP(SessionMovements[[#This Row],[MovementID]], MovementLibrary[MovementID], MovementLibrary[Unit], "")
)</f>
        <v>reps</v>
      </c>
      <c r="F8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0">
        <v>3</v>
      </c>
      <c r="H830">
        <v>20</v>
      </c>
      <c r="L830" s="5" t="str">
        <f>IF(COUNTIF(Sessions[SessionID],SessionMovements[[#This Row],[SessionID]])=0,"❌ Missing","✔ OK")</f>
        <v>✔ OK</v>
      </c>
    </row>
    <row r="831" spans="1:12" x14ac:dyDescent="0.3">
      <c r="A831" t="s">
        <v>1251</v>
      </c>
      <c r="B831" t="s">
        <v>795</v>
      </c>
      <c r="C831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31" s="5" t="str">
        <f>IF(SessionMovements[[#This Row],[MovementID]]="","",
   _xlfn.XLOOKUP(SessionMovements[[#This Row],[MovementID]], MovementLibrary[MovementID], MovementLibrary[Modality], "")
)</f>
        <v>Barbell</v>
      </c>
      <c r="E831" s="5" t="str">
        <f>IF(SessionMovements[[#This Row],[MovementID]]="","",
   _xlfn.XLOOKUP(SessionMovements[[#This Row],[MovementID]], MovementLibrary[MovementID], MovementLibrary[Unit], "")
)</f>
        <v>kg</v>
      </c>
      <c r="F8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1">
        <v>3</v>
      </c>
      <c r="H831" t="s">
        <v>1241</v>
      </c>
      <c r="J831">
        <v>70</v>
      </c>
      <c r="L831" s="5" t="str">
        <f>IF(COUNTIF(Sessions[SessionID],SessionMovements[[#This Row],[SessionID]])=0,"❌ Missing","✔ OK")</f>
        <v>✔ OK</v>
      </c>
    </row>
    <row r="832" spans="1:12" x14ac:dyDescent="0.3">
      <c r="A832" t="s">
        <v>1251</v>
      </c>
      <c r="B832" t="s">
        <v>795</v>
      </c>
      <c r="C832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32" s="5" t="str">
        <f>IF(SessionMovements[[#This Row],[MovementID]]="","",
   _xlfn.XLOOKUP(SessionMovements[[#This Row],[MovementID]], MovementLibrary[MovementID], MovementLibrary[Modality], "")
)</f>
        <v>Barbell</v>
      </c>
      <c r="E832" s="5" t="str">
        <f>IF(SessionMovements[[#This Row],[MovementID]]="","",
   _xlfn.XLOOKUP(SessionMovements[[#This Row],[MovementID]], MovementLibrary[MovementID], MovementLibrary[Unit], "")
)</f>
        <v>kg</v>
      </c>
      <c r="F8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2">
        <v>4</v>
      </c>
      <c r="H832" t="s">
        <v>1241</v>
      </c>
      <c r="J832">
        <v>75</v>
      </c>
      <c r="L832" s="5" t="str">
        <f>IF(COUNTIF(Sessions[SessionID],SessionMovements[[#This Row],[SessionID]])=0,"❌ Missing","✔ OK")</f>
        <v>✔ OK</v>
      </c>
    </row>
    <row r="833" spans="1:12" x14ac:dyDescent="0.3">
      <c r="A833" t="s">
        <v>1251</v>
      </c>
      <c r="B833" t="s">
        <v>797</v>
      </c>
      <c r="C833" t="str">
        <f>IF(SessionMovements[[#This Row],[MovementID]]="","",
   _xlfn.XLOOKUP(SessionMovements[[#This Row],[MovementID]],MovementLibrary[MovementID],MovementLibrary[Name],"")
)</f>
        <v>Power Clean + Power Jerk</v>
      </c>
      <c r="D833" s="5" t="str">
        <f>IF(SessionMovements[[#This Row],[MovementID]]="","",
   _xlfn.XLOOKUP(SessionMovements[[#This Row],[MovementID]], MovementLibrary[MovementID], MovementLibrary[Modality], "")
)</f>
        <v>Barbell</v>
      </c>
      <c r="E833" s="5" t="str">
        <f>IF(SessionMovements[[#This Row],[MovementID]]="","",
   _xlfn.XLOOKUP(SessionMovements[[#This Row],[MovementID]], MovementLibrary[MovementID], MovementLibrary[Unit], "")
)</f>
        <v>kg</v>
      </c>
      <c r="F8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3">
        <v>3</v>
      </c>
      <c r="H833" t="s">
        <v>1242</v>
      </c>
      <c r="J833">
        <v>70</v>
      </c>
      <c r="L833" s="5" t="str">
        <f>IF(COUNTIF(Sessions[SessionID],SessionMovements[[#This Row],[SessionID]])=0,"❌ Missing","✔ OK")</f>
        <v>✔ OK</v>
      </c>
    </row>
    <row r="834" spans="1:12" x14ac:dyDescent="0.3">
      <c r="A834" t="s">
        <v>1251</v>
      </c>
      <c r="B834" t="s">
        <v>797</v>
      </c>
      <c r="C834" t="str">
        <f>IF(SessionMovements[[#This Row],[MovementID]]="","",
   _xlfn.XLOOKUP(SessionMovements[[#This Row],[MovementID]],MovementLibrary[MovementID],MovementLibrary[Name],"")
)</f>
        <v>Power Clean + Power Jerk</v>
      </c>
      <c r="D834" s="5" t="str">
        <f>IF(SessionMovements[[#This Row],[MovementID]]="","",
   _xlfn.XLOOKUP(SessionMovements[[#This Row],[MovementID]], MovementLibrary[MovementID], MovementLibrary[Modality], "")
)</f>
        <v>Barbell</v>
      </c>
      <c r="E834" s="5" t="str">
        <f>IF(SessionMovements[[#This Row],[MovementID]]="","",
   _xlfn.XLOOKUP(SessionMovements[[#This Row],[MovementID]], MovementLibrary[MovementID], MovementLibrary[Unit], "")
)</f>
        <v>kg</v>
      </c>
      <c r="F8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4">
        <v>4</v>
      </c>
      <c r="H834" t="s">
        <v>1242</v>
      </c>
      <c r="J834">
        <v>75</v>
      </c>
      <c r="L834" s="5" t="str">
        <f>IF(COUNTIF(Sessions[SessionID],SessionMovements[[#This Row],[SessionID]])=0,"❌ Missing","✔ OK")</f>
        <v>✔ OK</v>
      </c>
    </row>
    <row r="835" spans="1:12" x14ac:dyDescent="0.3">
      <c r="A835" t="s">
        <v>1251</v>
      </c>
      <c r="B835" t="s">
        <v>534</v>
      </c>
      <c r="C835" t="str">
        <f>IF(SessionMovements[[#This Row],[MovementID]]="","",
   _xlfn.XLOOKUP(SessionMovements[[#This Row],[MovementID]],MovementLibrary[MovementID],MovementLibrary[Name],"")
)</f>
        <v>Snatch Pull</v>
      </c>
      <c r="D835" s="5" t="str">
        <f>IF(SessionMovements[[#This Row],[MovementID]]="","",
   _xlfn.XLOOKUP(SessionMovements[[#This Row],[MovementID]], MovementLibrary[MovementID], MovementLibrary[Modality], "")
)</f>
        <v>Barbell</v>
      </c>
      <c r="E835" s="5" t="str">
        <f>IF(SessionMovements[[#This Row],[MovementID]]="","",
   _xlfn.XLOOKUP(SessionMovements[[#This Row],[MovementID]], MovementLibrary[MovementID], MovementLibrary[Unit], "")
)</f>
        <v>kg</v>
      </c>
      <c r="F8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5">
        <v>2</v>
      </c>
      <c r="H835">
        <v>3</v>
      </c>
      <c r="J835">
        <v>95</v>
      </c>
      <c r="L835" s="5" t="str">
        <f>IF(COUNTIF(Sessions[SessionID],SessionMovements[[#This Row],[SessionID]])=0,"❌ Missing","✔ OK")</f>
        <v>✔ OK</v>
      </c>
    </row>
    <row r="836" spans="1:12" x14ac:dyDescent="0.3">
      <c r="A836" t="s">
        <v>1251</v>
      </c>
      <c r="B836" t="s">
        <v>534</v>
      </c>
      <c r="C836" t="str">
        <f>IF(SessionMovements[[#This Row],[MovementID]]="","",
   _xlfn.XLOOKUP(SessionMovements[[#This Row],[MovementID]],MovementLibrary[MovementID],MovementLibrary[Name],"")
)</f>
        <v>Snatch Pull</v>
      </c>
      <c r="D836" s="5" t="str">
        <f>IF(SessionMovements[[#This Row],[MovementID]]="","",
   _xlfn.XLOOKUP(SessionMovements[[#This Row],[MovementID]], MovementLibrary[MovementID], MovementLibrary[Modality], "")
)</f>
        <v>Barbell</v>
      </c>
      <c r="E836" s="5" t="str">
        <f>IF(SessionMovements[[#This Row],[MovementID]]="","",
   _xlfn.XLOOKUP(SessionMovements[[#This Row],[MovementID]], MovementLibrary[MovementID], MovementLibrary[Unit], "")
)</f>
        <v>kg</v>
      </c>
      <c r="F8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6">
        <v>3</v>
      </c>
      <c r="H836">
        <v>3</v>
      </c>
      <c r="J836">
        <v>100</v>
      </c>
      <c r="L836" s="5" t="str">
        <f>IF(COUNTIF(Sessions[SessionID],SessionMovements[[#This Row],[SessionID]])=0,"❌ Missing","✔ OK")</f>
        <v>✔ OK</v>
      </c>
    </row>
    <row r="837" spans="1:12" x14ac:dyDescent="0.3">
      <c r="A837" t="s">
        <v>1251</v>
      </c>
      <c r="B837" t="s">
        <v>756</v>
      </c>
      <c r="C837" t="str">
        <f>IF(SessionMovements[[#This Row],[MovementID]]="","",
   _xlfn.XLOOKUP(SessionMovements[[#This Row],[MovementID]],MovementLibrary[MovementID],MovementLibrary[Name],"")
)</f>
        <v>Ab Wheel Rollout</v>
      </c>
      <c r="D837" s="5" t="str">
        <f>IF(SessionMovements[[#This Row],[MovementID]]="","",
   _xlfn.XLOOKUP(SessionMovements[[#This Row],[MovementID]], MovementLibrary[MovementID], MovementLibrary[Modality], "")
)</f>
        <v>Gymnastics</v>
      </c>
      <c r="E837" s="5" t="str">
        <f>IF(SessionMovements[[#This Row],[MovementID]]="","",
   _xlfn.XLOOKUP(SessionMovements[[#This Row],[MovementID]], MovementLibrary[MovementID], MovementLibrary[Unit], "")
)</f>
        <v>reps</v>
      </c>
      <c r="F8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7">
        <v>3</v>
      </c>
      <c r="H837">
        <v>20</v>
      </c>
      <c r="L837" s="5" t="str">
        <f>IF(COUNTIF(Sessions[SessionID],SessionMovements[[#This Row],[SessionID]])=0,"❌ Missing","✔ OK")</f>
        <v>✔ OK</v>
      </c>
    </row>
    <row r="838" spans="1:12" x14ac:dyDescent="0.3">
      <c r="A838" t="s">
        <v>1252</v>
      </c>
      <c r="B838" t="s">
        <v>296</v>
      </c>
      <c r="C838" t="str">
        <f>IF(SessionMovements[[#This Row],[MovementID]]="","",
   _xlfn.XLOOKUP(SessionMovements[[#This Row],[MovementID]],MovementLibrary[MovementID],MovementLibrary[Name],"")
)</f>
        <v>Front Squat</v>
      </c>
      <c r="D838" s="5" t="str">
        <f>IF(SessionMovements[[#This Row],[MovementID]]="","",
   _xlfn.XLOOKUP(SessionMovements[[#This Row],[MovementID]], MovementLibrary[MovementID], MovementLibrary[Modality], "")
)</f>
        <v>Barbell</v>
      </c>
      <c r="E838" s="5" t="str">
        <f>IF(SessionMovements[[#This Row],[MovementID]]="","",
   _xlfn.XLOOKUP(SessionMovements[[#This Row],[MovementID]], MovementLibrary[MovementID], MovementLibrary[Unit], "")
)</f>
        <v>kg</v>
      </c>
      <c r="F8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8">
        <v>5</v>
      </c>
      <c r="H838">
        <v>2</v>
      </c>
      <c r="J838">
        <v>85</v>
      </c>
      <c r="L838" s="5" t="str">
        <f>IF(COUNTIF(Sessions[SessionID],SessionMovements[[#This Row],[SessionID]])=0,"❌ Missing","✔ OK")</f>
        <v>✔ OK</v>
      </c>
    </row>
    <row r="839" spans="1:12" x14ac:dyDescent="0.3">
      <c r="A839" t="s">
        <v>1252</v>
      </c>
      <c r="B839" t="s">
        <v>260</v>
      </c>
      <c r="C839" t="str">
        <f>IF(SessionMovements[[#This Row],[MovementID]]="","",
   _xlfn.XLOOKUP(SessionMovements[[#This Row],[MovementID]],MovementLibrary[MovementID],MovementLibrary[Name],"")
)</f>
        <v>Snatch</v>
      </c>
      <c r="D839" s="5" t="str">
        <f>IF(SessionMovements[[#This Row],[MovementID]]="","",
   _xlfn.XLOOKUP(SessionMovements[[#This Row],[MovementID]], MovementLibrary[MovementID], MovementLibrary[Modality], "")
)</f>
        <v>Barbell</v>
      </c>
      <c r="E839" s="5" t="str">
        <f>IF(SessionMovements[[#This Row],[MovementID]]="","",
   _xlfn.XLOOKUP(SessionMovements[[#This Row],[MovementID]], MovementLibrary[MovementID], MovementLibrary[Unit], "")
)</f>
        <v>kg</v>
      </c>
      <c r="F8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39">
        <v>3</v>
      </c>
      <c r="H839">
        <v>3</v>
      </c>
      <c r="J839">
        <v>75</v>
      </c>
      <c r="L839" s="5" t="str">
        <f>IF(COUNTIF(Sessions[SessionID],SessionMovements[[#This Row],[SessionID]])=0,"❌ Missing","✔ OK")</f>
        <v>✔ OK</v>
      </c>
    </row>
    <row r="840" spans="1:12" x14ac:dyDescent="0.3">
      <c r="A840" t="s">
        <v>1252</v>
      </c>
      <c r="B840" t="s">
        <v>260</v>
      </c>
      <c r="C840" t="str">
        <f>IF(SessionMovements[[#This Row],[MovementID]]="","",
   _xlfn.XLOOKUP(SessionMovements[[#This Row],[MovementID]],MovementLibrary[MovementID],MovementLibrary[Name],"")
)</f>
        <v>Snatch</v>
      </c>
      <c r="D840" s="5" t="str">
        <f>IF(SessionMovements[[#This Row],[MovementID]]="","",
   _xlfn.XLOOKUP(SessionMovements[[#This Row],[MovementID]], MovementLibrary[MovementID], MovementLibrary[Modality], "")
)</f>
        <v>Barbell</v>
      </c>
      <c r="E840" s="5" t="str">
        <f>IF(SessionMovements[[#This Row],[MovementID]]="","",
   _xlfn.XLOOKUP(SessionMovements[[#This Row],[MovementID]], MovementLibrary[MovementID], MovementLibrary[Unit], "")
)</f>
        <v>kg</v>
      </c>
      <c r="F8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0">
        <v>2</v>
      </c>
      <c r="H840">
        <v>2</v>
      </c>
      <c r="J840">
        <v>80</v>
      </c>
      <c r="L840" s="5" t="str">
        <f>IF(COUNTIF(Sessions[SessionID],SessionMovements[[#This Row],[SessionID]])=0,"❌ Missing","✔ OK")</f>
        <v>✔ OK</v>
      </c>
    </row>
    <row r="841" spans="1:12" x14ac:dyDescent="0.3">
      <c r="A841" t="s">
        <v>1252</v>
      </c>
      <c r="B841" t="s">
        <v>263</v>
      </c>
      <c r="C841" t="str">
        <f>IF(SessionMovements[[#This Row],[MovementID]]="","",
   _xlfn.XLOOKUP(SessionMovements[[#This Row],[MovementID]],MovementLibrary[MovementID],MovementLibrary[Name],"")
)</f>
        <v>Split Jerk</v>
      </c>
      <c r="D841" s="5" t="str">
        <f>IF(SessionMovements[[#This Row],[MovementID]]="","",
   _xlfn.XLOOKUP(SessionMovements[[#This Row],[MovementID]], MovementLibrary[MovementID], MovementLibrary[Modality], "")
)</f>
        <v>Barbell</v>
      </c>
      <c r="E841" s="5" t="str">
        <f>IF(SessionMovements[[#This Row],[MovementID]]="","",
   _xlfn.XLOOKUP(SessionMovements[[#This Row],[MovementID]], MovementLibrary[MovementID], MovementLibrary[Unit], "")
)</f>
        <v>kg</v>
      </c>
      <c r="F8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1">
        <v>3</v>
      </c>
      <c r="H841">
        <v>3</v>
      </c>
      <c r="J841">
        <v>75</v>
      </c>
      <c r="L841" s="5" t="str">
        <f>IF(COUNTIF(Sessions[SessionID],SessionMovements[[#This Row],[SessionID]])=0,"❌ Missing","✔ OK")</f>
        <v>✔ OK</v>
      </c>
    </row>
    <row r="842" spans="1:12" x14ac:dyDescent="0.3">
      <c r="A842" t="s">
        <v>1252</v>
      </c>
      <c r="B842" t="s">
        <v>263</v>
      </c>
      <c r="C842" t="str">
        <f>IF(SessionMovements[[#This Row],[MovementID]]="","",
   _xlfn.XLOOKUP(SessionMovements[[#This Row],[MovementID]],MovementLibrary[MovementID],MovementLibrary[Name],"")
)</f>
        <v>Split Jerk</v>
      </c>
      <c r="D842" s="5" t="str">
        <f>IF(SessionMovements[[#This Row],[MovementID]]="","",
   _xlfn.XLOOKUP(SessionMovements[[#This Row],[MovementID]], MovementLibrary[MovementID], MovementLibrary[Modality], "")
)</f>
        <v>Barbell</v>
      </c>
      <c r="E842" s="5" t="str">
        <f>IF(SessionMovements[[#This Row],[MovementID]]="","",
   _xlfn.XLOOKUP(SessionMovements[[#This Row],[MovementID]], MovementLibrary[MovementID], MovementLibrary[Unit], "")
)</f>
        <v>kg</v>
      </c>
      <c r="F8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2">
        <v>2</v>
      </c>
      <c r="H842">
        <v>2</v>
      </c>
      <c r="J842">
        <v>80</v>
      </c>
      <c r="L842" s="5" t="str">
        <f>IF(COUNTIF(Sessions[SessionID],SessionMovements[[#This Row],[SessionID]])=0,"❌ Missing","✔ OK")</f>
        <v>✔ OK</v>
      </c>
    </row>
    <row r="843" spans="1:12" x14ac:dyDescent="0.3">
      <c r="A843" t="s">
        <v>1252</v>
      </c>
      <c r="B843" t="s">
        <v>537</v>
      </c>
      <c r="C843" t="str">
        <f>IF(SessionMovements[[#This Row],[MovementID]]="","",
   _xlfn.XLOOKUP(SessionMovements[[#This Row],[MovementID]],MovementLibrary[MovementID],MovementLibrary[Name],"")
)</f>
        <v>Clean Pull</v>
      </c>
      <c r="D843" s="5" t="str">
        <f>IF(SessionMovements[[#This Row],[MovementID]]="","",
   _xlfn.XLOOKUP(SessionMovements[[#This Row],[MovementID]], MovementLibrary[MovementID], MovementLibrary[Modality], "")
)</f>
        <v>Barbell</v>
      </c>
      <c r="E843" s="5" t="str">
        <f>IF(SessionMovements[[#This Row],[MovementID]]="","",
   _xlfn.XLOOKUP(SessionMovements[[#This Row],[MovementID]], MovementLibrary[MovementID], MovementLibrary[Unit], "")
)</f>
        <v>kg</v>
      </c>
      <c r="F8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3">
        <v>2</v>
      </c>
      <c r="H843">
        <v>3</v>
      </c>
      <c r="J843">
        <v>95</v>
      </c>
      <c r="L843" s="5" t="str">
        <f>IF(COUNTIF(Sessions[SessionID],SessionMovements[[#This Row],[SessionID]])=0,"❌ Missing","✔ OK")</f>
        <v>✔ OK</v>
      </c>
    </row>
    <row r="844" spans="1:12" x14ac:dyDescent="0.3">
      <c r="A844" t="s">
        <v>1252</v>
      </c>
      <c r="B844" t="s">
        <v>537</v>
      </c>
      <c r="C844" t="str">
        <f>IF(SessionMovements[[#This Row],[MovementID]]="","",
   _xlfn.XLOOKUP(SessionMovements[[#This Row],[MovementID]],MovementLibrary[MovementID],MovementLibrary[Name],"")
)</f>
        <v>Clean Pull</v>
      </c>
      <c r="D844" s="5" t="str">
        <f>IF(SessionMovements[[#This Row],[MovementID]]="","",
   _xlfn.XLOOKUP(SessionMovements[[#This Row],[MovementID]], MovementLibrary[MovementID], MovementLibrary[Modality], "")
)</f>
        <v>Barbell</v>
      </c>
      <c r="E844" s="5" t="str">
        <f>IF(SessionMovements[[#This Row],[MovementID]]="","",
   _xlfn.XLOOKUP(SessionMovements[[#This Row],[MovementID]], MovementLibrary[MovementID], MovementLibrary[Unit], "")
)</f>
        <v>kg</v>
      </c>
      <c r="F8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4">
        <v>3</v>
      </c>
      <c r="H844">
        <v>3</v>
      </c>
      <c r="J844">
        <v>100</v>
      </c>
      <c r="L844" s="5" t="str">
        <f>IF(COUNTIF(Sessions[SessionID],SessionMovements[[#This Row],[SessionID]])=0,"❌ Missing","✔ OK")</f>
        <v>✔ OK</v>
      </c>
    </row>
    <row r="845" spans="1:12" x14ac:dyDescent="0.3">
      <c r="A845" t="s">
        <v>1252</v>
      </c>
      <c r="B845" t="s">
        <v>735</v>
      </c>
      <c r="C845" t="str">
        <f>IF(SessionMovements[[#This Row],[MovementID]]="","",
   _xlfn.XLOOKUP(SessionMovements[[#This Row],[MovementID]],MovementLibrary[MovementID],MovementLibrary[Name],"")
)</f>
        <v>Hollow Rock</v>
      </c>
      <c r="D845" s="5" t="str">
        <f>IF(SessionMovements[[#This Row],[MovementID]]="","",
   _xlfn.XLOOKUP(SessionMovements[[#This Row],[MovementID]], MovementLibrary[MovementID], MovementLibrary[Modality], "")
)</f>
        <v>Gymnastics</v>
      </c>
      <c r="E845" s="5" t="str">
        <f>IF(SessionMovements[[#This Row],[MovementID]]="","",
   _xlfn.XLOOKUP(SessionMovements[[#This Row],[MovementID]], MovementLibrary[MovementID], MovementLibrary[Unit], "")
)</f>
        <v>reps</v>
      </c>
      <c r="F8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5">
        <v>3</v>
      </c>
      <c r="H845">
        <v>20</v>
      </c>
      <c r="L845" s="5" t="str">
        <f>IF(COUNTIF(Sessions[SessionID],SessionMovements[[#This Row],[SessionID]])=0,"❌ Missing","✔ OK")</f>
        <v>✔ OK</v>
      </c>
    </row>
    <row r="846" spans="1:12" x14ac:dyDescent="0.3">
      <c r="A846" t="s">
        <v>1253</v>
      </c>
      <c r="B846" t="s">
        <v>800</v>
      </c>
      <c r="C846" t="str">
        <f>IF(SessionMovements[[#This Row],[MovementID]]="","",
   _xlfn.XLOOKUP(SessionMovements[[#This Row],[MovementID]],MovementLibrary[MovementID],MovementLibrary[Name],"")
)</f>
        <v>Power Clean + Push Press</v>
      </c>
      <c r="D846" s="5" t="str">
        <f>IF(SessionMovements[[#This Row],[MovementID]]="","",
   _xlfn.XLOOKUP(SessionMovements[[#This Row],[MovementID]], MovementLibrary[MovementID], MovementLibrary[Modality], "")
)</f>
        <v>Barbell</v>
      </c>
      <c r="E846" s="5" t="str">
        <f>IF(SessionMovements[[#This Row],[MovementID]]="","",
   _xlfn.XLOOKUP(SessionMovements[[#This Row],[MovementID]], MovementLibrary[MovementID], MovementLibrary[Unit], "")
)</f>
        <v>kg</v>
      </c>
      <c r="F8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6">
        <v>3</v>
      </c>
      <c r="H846" t="s">
        <v>924</v>
      </c>
      <c r="J846">
        <v>75</v>
      </c>
      <c r="K846" t="s">
        <v>1245</v>
      </c>
      <c r="L846" s="5" t="str">
        <f>IF(COUNTIF(Sessions[SessionID],SessionMovements[[#This Row],[SessionID]])=0,"❌ Missing","✔ OK")</f>
        <v>✔ OK</v>
      </c>
    </row>
    <row r="847" spans="1:12" x14ac:dyDescent="0.3">
      <c r="A847" t="s">
        <v>1253</v>
      </c>
      <c r="B847" t="s">
        <v>800</v>
      </c>
      <c r="C847" t="str">
        <f>IF(SessionMovements[[#This Row],[MovementID]]="","",
   _xlfn.XLOOKUP(SessionMovements[[#This Row],[MovementID]],MovementLibrary[MovementID],MovementLibrary[Name],"")
)</f>
        <v>Power Clean + Push Press</v>
      </c>
      <c r="D847" s="5" t="str">
        <f>IF(SessionMovements[[#This Row],[MovementID]]="","",
   _xlfn.XLOOKUP(SessionMovements[[#This Row],[MovementID]], MovementLibrary[MovementID], MovementLibrary[Modality], "")
)</f>
        <v>Barbell</v>
      </c>
      <c r="E847" s="5" t="str">
        <f>IF(SessionMovements[[#This Row],[MovementID]]="","",
   _xlfn.XLOOKUP(SessionMovements[[#This Row],[MovementID]], MovementLibrary[MovementID], MovementLibrary[Unit], "")
)</f>
        <v>kg</v>
      </c>
      <c r="F8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7">
        <v>2</v>
      </c>
      <c r="H847" t="s">
        <v>924</v>
      </c>
      <c r="J847">
        <v>80</v>
      </c>
      <c r="K847" t="s">
        <v>1245</v>
      </c>
      <c r="L847" s="5" t="str">
        <f>IF(COUNTIF(Sessions[SessionID],SessionMovements[[#This Row],[SessionID]])=0,"❌ Missing","✔ OK")</f>
        <v>✔ OK</v>
      </c>
    </row>
    <row r="848" spans="1:12" x14ac:dyDescent="0.3">
      <c r="A848" t="s">
        <v>1253</v>
      </c>
      <c r="B848" t="s">
        <v>292</v>
      </c>
      <c r="C848" t="str">
        <f>IF(SessionMovements[[#This Row],[MovementID]]="","",
   _xlfn.XLOOKUP(SessionMovements[[#This Row],[MovementID]],MovementLibrary[MovementID],MovementLibrary[Name],"")
)</f>
        <v>Push Press</v>
      </c>
      <c r="D848" s="5" t="str">
        <f>IF(SessionMovements[[#This Row],[MovementID]]="","",
   _xlfn.XLOOKUP(SessionMovements[[#This Row],[MovementID]], MovementLibrary[MovementID], MovementLibrary[Modality], "")
)</f>
        <v>Barbell</v>
      </c>
      <c r="E848" s="5" t="str">
        <f>IF(SessionMovements[[#This Row],[MovementID]]="","",
   _xlfn.XLOOKUP(SessionMovements[[#This Row],[MovementID]], MovementLibrary[MovementID], MovementLibrary[Unit], "")
)</f>
        <v>kg</v>
      </c>
      <c r="F8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8">
        <v>2</v>
      </c>
      <c r="H848" t="s">
        <v>979</v>
      </c>
      <c r="J848">
        <v>70</v>
      </c>
      <c r="K848" t="s">
        <v>1254</v>
      </c>
      <c r="L848" s="5" t="str">
        <f>IF(COUNTIF(Sessions[SessionID],SessionMovements[[#This Row],[SessionID]])=0,"❌ Missing","✔ OK")</f>
        <v>✔ OK</v>
      </c>
    </row>
    <row r="849" spans="1:12" x14ac:dyDescent="0.3">
      <c r="A849" t="s">
        <v>1253</v>
      </c>
      <c r="B849" t="s">
        <v>292</v>
      </c>
      <c r="C849" t="str">
        <f>IF(SessionMovements[[#This Row],[MovementID]]="","",
   _xlfn.XLOOKUP(SessionMovements[[#This Row],[MovementID]],MovementLibrary[MovementID],MovementLibrary[Name],"")
)</f>
        <v>Push Press</v>
      </c>
      <c r="D849" s="5" t="str">
        <f>IF(SessionMovements[[#This Row],[MovementID]]="","",
   _xlfn.XLOOKUP(SessionMovements[[#This Row],[MovementID]], MovementLibrary[MovementID], MovementLibrary[Modality], "")
)</f>
        <v>Barbell</v>
      </c>
      <c r="E849" s="5" t="str">
        <f>IF(SessionMovements[[#This Row],[MovementID]]="","",
   _xlfn.XLOOKUP(SessionMovements[[#This Row],[MovementID]], MovementLibrary[MovementID], MovementLibrary[Unit], "")
)</f>
        <v>kg</v>
      </c>
      <c r="F8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49">
        <v>3</v>
      </c>
      <c r="H849" t="s">
        <v>979</v>
      </c>
      <c r="J849">
        <v>75</v>
      </c>
      <c r="K849" t="s">
        <v>1254</v>
      </c>
      <c r="L849" s="5" t="str">
        <f>IF(COUNTIF(Sessions[SessionID],SessionMovements[[#This Row],[SessionID]])=0,"❌ Missing","✔ OK")</f>
        <v>✔ OK</v>
      </c>
    </row>
    <row r="850" spans="1:12" x14ac:dyDescent="0.3">
      <c r="A850" t="s">
        <v>1253</v>
      </c>
      <c r="B850" t="s">
        <v>534</v>
      </c>
      <c r="C850" t="str">
        <f>IF(SessionMovements[[#This Row],[MovementID]]="","",
   _xlfn.XLOOKUP(SessionMovements[[#This Row],[MovementID]],MovementLibrary[MovementID],MovementLibrary[Name],"")
)</f>
        <v>Snatch Pull</v>
      </c>
      <c r="D850" s="5" t="str">
        <f>IF(SessionMovements[[#This Row],[MovementID]]="","",
   _xlfn.XLOOKUP(SessionMovements[[#This Row],[MovementID]], MovementLibrary[MovementID], MovementLibrary[Modality], "")
)</f>
        <v>Barbell</v>
      </c>
      <c r="E850" s="5" t="str">
        <f>IF(SessionMovements[[#This Row],[MovementID]]="","",
   _xlfn.XLOOKUP(SessionMovements[[#This Row],[MovementID]], MovementLibrary[MovementID], MovementLibrary[Unit], "")
)</f>
        <v>kg</v>
      </c>
      <c r="F8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0">
        <v>5</v>
      </c>
      <c r="H850">
        <v>3</v>
      </c>
      <c r="J850">
        <v>95</v>
      </c>
      <c r="L850" s="5" t="str">
        <f>IF(COUNTIF(Sessions[SessionID],SessionMovements[[#This Row],[SessionID]])=0,"❌ Missing","✔ OK")</f>
        <v>✔ OK</v>
      </c>
    </row>
    <row r="851" spans="1:12" x14ac:dyDescent="0.3">
      <c r="A851" t="s">
        <v>1253</v>
      </c>
      <c r="B851" t="s">
        <v>735</v>
      </c>
      <c r="C851" t="str">
        <f>IF(SessionMovements[[#This Row],[MovementID]]="","",
   _xlfn.XLOOKUP(SessionMovements[[#This Row],[MovementID]],MovementLibrary[MovementID],MovementLibrary[Name],"")
)</f>
        <v>Hollow Rock</v>
      </c>
      <c r="D851" s="5" t="str">
        <f>IF(SessionMovements[[#This Row],[MovementID]]="","",
   _xlfn.XLOOKUP(SessionMovements[[#This Row],[MovementID]], MovementLibrary[MovementID], MovementLibrary[Modality], "")
)</f>
        <v>Gymnastics</v>
      </c>
      <c r="E851" s="5" t="str">
        <f>IF(SessionMovements[[#This Row],[MovementID]]="","",
   _xlfn.XLOOKUP(SessionMovements[[#This Row],[MovementID]], MovementLibrary[MovementID], MovementLibrary[Unit], "")
)</f>
        <v>reps</v>
      </c>
      <c r="F8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1">
        <v>3</v>
      </c>
      <c r="H851">
        <v>20</v>
      </c>
      <c r="L851" s="5" t="str">
        <f>IF(COUNTIF(Sessions[SessionID],SessionMovements[[#This Row],[SessionID]])=0,"❌ Missing","✔ OK")</f>
        <v>✔ OK</v>
      </c>
    </row>
    <row r="852" spans="1:12" x14ac:dyDescent="0.3">
      <c r="A852" t="s">
        <v>1255</v>
      </c>
      <c r="B852" t="s">
        <v>260</v>
      </c>
      <c r="C852" t="str">
        <f>IF(SessionMovements[[#This Row],[MovementID]]="","",
   _xlfn.XLOOKUP(SessionMovements[[#This Row],[MovementID]],MovementLibrary[MovementID],MovementLibrary[Name],"")
)</f>
        <v>Snatch</v>
      </c>
      <c r="D852" s="5" t="str">
        <f>IF(SessionMovements[[#This Row],[MovementID]]="","",
   _xlfn.XLOOKUP(SessionMovements[[#This Row],[MovementID]], MovementLibrary[MovementID], MovementLibrary[Modality], "")
)</f>
        <v>Barbell</v>
      </c>
      <c r="E852" s="5" t="str">
        <f>IF(SessionMovements[[#This Row],[MovementID]]="","",
   _xlfn.XLOOKUP(SessionMovements[[#This Row],[MovementID]], MovementLibrary[MovementID], MovementLibrary[Unit], "")
)</f>
        <v>kg</v>
      </c>
      <c r="F8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2">
        <v>1</v>
      </c>
      <c r="H852">
        <v>1</v>
      </c>
      <c r="K852" t="s">
        <v>1248</v>
      </c>
      <c r="L852" s="5" t="str">
        <f>IF(COUNTIF(Sessions[SessionID],SessionMovements[[#This Row],[SessionID]])=0,"❌ Missing","✔ OK")</f>
        <v>✔ OK</v>
      </c>
    </row>
    <row r="853" spans="1:12" x14ac:dyDescent="0.3">
      <c r="A853" t="s">
        <v>1255</v>
      </c>
      <c r="B853" t="s">
        <v>261</v>
      </c>
      <c r="C853" t="str">
        <f>IF(SessionMovements[[#This Row],[MovementID]]="","",
   _xlfn.XLOOKUP(SessionMovements[[#This Row],[MovementID]],MovementLibrary[MovementID],MovementLibrary[Name],"")
)</f>
        <v>Clean &amp; Jerk</v>
      </c>
      <c r="D853" s="5" t="str">
        <f>IF(SessionMovements[[#This Row],[MovementID]]="","",
   _xlfn.XLOOKUP(SessionMovements[[#This Row],[MovementID]], MovementLibrary[MovementID], MovementLibrary[Modality], "")
)</f>
        <v>Barbell</v>
      </c>
      <c r="E853" s="5" t="str">
        <f>IF(SessionMovements[[#This Row],[MovementID]]="","",
   _xlfn.XLOOKUP(SessionMovements[[#This Row],[MovementID]], MovementLibrary[MovementID], MovementLibrary[Unit], "")
)</f>
        <v>kg</v>
      </c>
      <c r="F8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3">
        <v>1</v>
      </c>
      <c r="H853" t="s">
        <v>1249</v>
      </c>
      <c r="K853" t="s">
        <v>1248</v>
      </c>
      <c r="L853" s="5" t="str">
        <f>IF(COUNTIF(Sessions[SessionID],SessionMovements[[#This Row],[SessionID]])=0,"❌ Missing","✔ OK")</f>
        <v>✔ OK</v>
      </c>
    </row>
    <row r="854" spans="1:12" x14ac:dyDescent="0.3">
      <c r="A854" t="s">
        <v>1255</v>
      </c>
      <c r="B854" t="s">
        <v>681</v>
      </c>
      <c r="C854" t="str">
        <f>IF(SessionMovements[[#This Row],[MovementID]]="","",
   _xlfn.XLOOKUP(SessionMovements[[#This Row],[MovementID]],MovementLibrary[MovementID],MovementLibrary[Name],"")
)</f>
        <v>Clean Deadlift</v>
      </c>
      <c r="D854" s="5" t="str">
        <f>IF(SessionMovements[[#This Row],[MovementID]]="","",
   _xlfn.XLOOKUP(SessionMovements[[#This Row],[MovementID]], MovementLibrary[MovementID], MovementLibrary[Modality], "")
)</f>
        <v>Barbell</v>
      </c>
      <c r="E854" s="5" t="str">
        <f>IF(SessionMovements[[#This Row],[MovementID]]="","",
   _xlfn.XLOOKUP(SessionMovements[[#This Row],[MovementID]], MovementLibrary[MovementID], MovementLibrary[Unit], "")
)</f>
        <v>kg</v>
      </c>
      <c r="F8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4">
        <v>3</v>
      </c>
      <c r="H854">
        <v>5</v>
      </c>
      <c r="J854">
        <v>100</v>
      </c>
      <c r="L854" s="5" t="str">
        <f>IF(COUNTIF(Sessions[SessionID],SessionMovements[[#This Row],[SessionID]])=0,"❌ Missing","✔ OK")</f>
        <v>✔ OK</v>
      </c>
    </row>
    <row r="855" spans="1:12" x14ac:dyDescent="0.3">
      <c r="A855" t="s">
        <v>1255</v>
      </c>
      <c r="B855" t="s">
        <v>298</v>
      </c>
      <c r="C855" t="str">
        <f>IF(SessionMovements[[#This Row],[MovementID]]="","",
   _xlfn.XLOOKUP(SessionMovements[[#This Row],[MovementID]],MovementLibrary[MovementID],MovementLibrary[Name],"")
)</f>
        <v>Back Squat</v>
      </c>
      <c r="D855" s="5" t="str">
        <f>IF(SessionMovements[[#This Row],[MovementID]]="","",
   _xlfn.XLOOKUP(SessionMovements[[#This Row],[MovementID]], MovementLibrary[MovementID], MovementLibrary[Modality], "")
)</f>
        <v>Barbell</v>
      </c>
      <c r="E855" s="5" t="str">
        <f>IF(SessionMovements[[#This Row],[MovementID]]="","",
   _xlfn.XLOOKUP(SessionMovements[[#This Row],[MovementID]], MovementLibrary[MovementID], MovementLibrary[Unit], "")
)</f>
        <v>kg</v>
      </c>
      <c r="F8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5">
        <v>5</v>
      </c>
      <c r="H855">
        <v>2</v>
      </c>
      <c r="J855">
        <v>70</v>
      </c>
      <c r="L855" s="5" t="str">
        <f>IF(COUNTIF(Sessions[SessionID],SessionMovements[[#This Row],[SessionID]])=0,"❌ Missing","✔ OK")</f>
        <v>✔ OK</v>
      </c>
    </row>
    <row r="856" spans="1:12" x14ac:dyDescent="0.3">
      <c r="A856" t="s">
        <v>1255</v>
      </c>
      <c r="B856" t="s">
        <v>756</v>
      </c>
      <c r="C856" t="str">
        <f>IF(SessionMovements[[#This Row],[MovementID]]="","",
   _xlfn.XLOOKUP(SessionMovements[[#This Row],[MovementID]],MovementLibrary[MovementID],MovementLibrary[Name],"")
)</f>
        <v>Ab Wheel Rollout</v>
      </c>
      <c r="D856" s="5" t="str">
        <f>IF(SessionMovements[[#This Row],[MovementID]]="","",
   _xlfn.XLOOKUP(SessionMovements[[#This Row],[MovementID]], MovementLibrary[MovementID], MovementLibrary[Modality], "")
)</f>
        <v>Gymnastics</v>
      </c>
      <c r="E856" s="5" t="str">
        <f>IF(SessionMovements[[#This Row],[MovementID]]="","",
   _xlfn.XLOOKUP(SessionMovements[[#This Row],[MovementID]], MovementLibrary[MovementID], MovementLibrary[Unit], "")
)</f>
        <v>reps</v>
      </c>
      <c r="F8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6">
        <v>3</v>
      </c>
      <c r="H856">
        <v>20</v>
      </c>
      <c r="L856" s="5" t="str">
        <f>IF(COUNTIF(Sessions[SessionID],SessionMovements[[#This Row],[SessionID]])=0,"❌ Missing","✔ OK")</f>
        <v>✔ OK</v>
      </c>
    </row>
    <row r="857" spans="1:12" x14ac:dyDescent="0.3">
      <c r="A857" t="s">
        <v>1256</v>
      </c>
      <c r="B857" t="s">
        <v>296</v>
      </c>
      <c r="C857" t="str">
        <f>IF(SessionMovements[[#This Row],[MovementID]]="","",
   _xlfn.XLOOKUP(SessionMovements[[#This Row],[MovementID]],MovementLibrary[MovementID],MovementLibrary[Name],"")
)</f>
        <v>Front Squat</v>
      </c>
      <c r="D857" s="5" t="str">
        <f>IF(SessionMovements[[#This Row],[MovementID]]="","",
   _xlfn.XLOOKUP(SessionMovements[[#This Row],[MovementID]], MovementLibrary[MovementID], MovementLibrary[Modality], "")
)</f>
        <v>Barbell</v>
      </c>
      <c r="E857" s="5" t="str">
        <f>IF(SessionMovements[[#This Row],[MovementID]]="","",
   _xlfn.XLOOKUP(SessionMovements[[#This Row],[MovementID]], MovementLibrary[MovementID], MovementLibrary[Unit], "")
)</f>
        <v>kg</v>
      </c>
      <c r="F8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7">
        <v>4</v>
      </c>
      <c r="H857">
        <v>3</v>
      </c>
      <c r="J857">
        <v>85</v>
      </c>
      <c r="L857" s="5" t="str">
        <f>IF(COUNTIF(Sessions[SessionID],SessionMovements[[#This Row],[SessionID]])=0,"❌ Missing","✔ OK")</f>
        <v>✔ OK</v>
      </c>
    </row>
    <row r="858" spans="1:12" x14ac:dyDescent="0.3">
      <c r="A858" t="s">
        <v>1256</v>
      </c>
      <c r="B858" t="s">
        <v>260</v>
      </c>
      <c r="C858" t="str">
        <f>IF(SessionMovements[[#This Row],[MovementID]]="","",
   _xlfn.XLOOKUP(SessionMovements[[#This Row],[MovementID]],MovementLibrary[MovementID],MovementLibrary[Name],"")
)</f>
        <v>Snatch</v>
      </c>
      <c r="D858" s="5" t="str">
        <f>IF(SessionMovements[[#This Row],[MovementID]]="","",
   _xlfn.XLOOKUP(SessionMovements[[#This Row],[MovementID]], MovementLibrary[MovementID], MovementLibrary[Modality], "")
)</f>
        <v>Barbell</v>
      </c>
      <c r="E858" s="5" t="str">
        <f>IF(SessionMovements[[#This Row],[MovementID]]="","",
   _xlfn.XLOOKUP(SessionMovements[[#This Row],[MovementID]], MovementLibrary[MovementID], MovementLibrary[Unit], "")
)</f>
        <v>kg</v>
      </c>
      <c r="F8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8">
        <v>1</v>
      </c>
      <c r="H858">
        <v>3</v>
      </c>
      <c r="J858">
        <v>75</v>
      </c>
      <c r="L858" s="5" t="str">
        <f>IF(COUNTIF(Sessions[SessionID],SessionMovements[[#This Row],[SessionID]])=0,"❌ Missing","✔ OK")</f>
        <v>✔ OK</v>
      </c>
    </row>
    <row r="859" spans="1:12" x14ac:dyDescent="0.3">
      <c r="A859" t="s">
        <v>1256</v>
      </c>
      <c r="B859" t="s">
        <v>260</v>
      </c>
      <c r="C859" t="str">
        <f>IF(SessionMovements[[#This Row],[MovementID]]="","",
   _xlfn.XLOOKUP(SessionMovements[[#This Row],[MovementID]],MovementLibrary[MovementID],MovementLibrary[Name],"")
)</f>
        <v>Snatch</v>
      </c>
      <c r="D859" s="5" t="str">
        <f>IF(SessionMovements[[#This Row],[MovementID]]="","",
   _xlfn.XLOOKUP(SessionMovements[[#This Row],[MovementID]], MovementLibrary[MovementID], MovementLibrary[Modality], "")
)</f>
        <v>Barbell</v>
      </c>
      <c r="E859" s="5" t="str">
        <f>IF(SessionMovements[[#This Row],[MovementID]]="","",
   _xlfn.XLOOKUP(SessionMovements[[#This Row],[MovementID]], MovementLibrary[MovementID], MovementLibrary[Unit], "")
)</f>
        <v>kg</v>
      </c>
      <c r="F8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59">
        <v>4</v>
      </c>
      <c r="H859">
        <v>2</v>
      </c>
      <c r="J859">
        <v>80</v>
      </c>
      <c r="L859" s="5" t="str">
        <f>IF(COUNTIF(Sessions[SessionID],SessionMovements[[#This Row],[SessionID]])=0,"❌ Missing","✔ OK")</f>
        <v>✔ OK</v>
      </c>
    </row>
    <row r="860" spans="1:12" x14ac:dyDescent="0.3">
      <c r="A860" t="s">
        <v>1256</v>
      </c>
      <c r="B860" t="s">
        <v>263</v>
      </c>
      <c r="C860" t="str">
        <f>IF(SessionMovements[[#This Row],[MovementID]]="","",
   _xlfn.XLOOKUP(SessionMovements[[#This Row],[MovementID]],MovementLibrary[MovementID],MovementLibrary[Name],"")
)</f>
        <v>Split Jerk</v>
      </c>
      <c r="D860" s="5" t="str">
        <f>IF(SessionMovements[[#This Row],[MovementID]]="","",
   _xlfn.XLOOKUP(SessionMovements[[#This Row],[MovementID]], MovementLibrary[MovementID], MovementLibrary[Modality], "")
)</f>
        <v>Barbell</v>
      </c>
      <c r="E860" s="5" t="str">
        <f>IF(SessionMovements[[#This Row],[MovementID]]="","",
   _xlfn.XLOOKUP(SessionMovements[[#This Row],[MovementID]], MovementLibrary[MovementID], MovementLibrary[Unit], "")
)</f>
        <v>kg</v>
      </c>
      <c r="F8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0">
        <v>1</v>
      </c>
      <c r="H860">
        <v>3</v>
      </c>
      <c r="J860">
        <v>75</v>
      </c>
      <c r="L860" s="5" t="str">
        <f>IF(COUNTIF(Sessions[SessionID],SessionMovements[[#This Row],[SessionID]])=0,"❌ Missing","✔ OK")</f>
        <v>✔ OK</v>
      </c>
    </row>
    <row r="861" spans="1:12" x14ac:dyDescent="0.3">
      <c r="A861" t="s">
        <v>1256</v>
      </c>
      <c r="B861" t="s">
        <v>263</v>
      </c>
      <c r="C861" t="str">
        <f>IF(SessionMovements[[#This Row],[MovementID]]="","",
   _xlfn.XLOOKUP(SessionMovements[[#This Row],[MovementID]],MovementLibrary[MovementID],MovementLibrary[Name],"")
)</f>
        <v>Split Jerk</v>
      </c>
      <c r="D861" s="5" t="str">
        <f>IF(SessionMovements[[#This Row],[MovementID]]="","",
   _xlfn.XLOOKUP(SessionMovements[[#This Row],[MovementID]], MovementLibrary[MovementID], MovementLibrary[Modality], "")
)</f>
        <v>Barbell</v>
      </c>
      <c r="E861" s="5" t="str">
        <f>IF(SessionMovements[[#This Row],[MovementID]]="","",
   _xlfn.XLOOKUP(SessionMovements[[#This Row],[MovementID]], MovementLibrary[MovementID], MovementLibrary[Unit], "")
)</f>
        <v>kg</v>
      </c>
      <c r="F8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1">
        <v>4</v>
      </c>
      <c r="H861">
        <v>2</v>
      </c>
      <c r="J861">
        <v>80</v>
      </c>
      <c r="L861" s="5" t="str">
        <f>IF(COUNTIF(Sessions[SessionID],SessionMovements[[#This Row],[SessionID]])=0,"❌ Missing","✔ OK")</f>
        <v>✔ OK</v>
      </c>
    </row>
    <row r="862" spans="1:12" x14ac:dyDescent="0.3">
      <c r="A862" t="s">
        <v>1256</v>
      </c>
      <c r="B862" t="s">
        <v>537</v>
      </c>
      <c r="C862" t="str">
        <f>IF(SessionMovements[[#This Row],[MovementID]]="","",
   _xlfn.XLOOKUP(SessionMovements[[#This Row],[MovementID]],MovementLibrary[MovementID],MovementLibrary[Name],"")
)</f>
        <v>Clean Pull</v>
      </c>
      <c r="D862" s="5" t="str">
        <f>IF(SessionMovements[[#This Row],[MovementID]]="","",
   _xlfn.XLOOKUP(SessionMovements[[#This Row],[MovementID]], MovementLibrary[MovementID], MovementLibrary[Modality], "")
)</f>
        <v>Barbell</v>
      </c>
      <c r="E862" s="5" t="str">
        <f>IF(SessionMovements[[#This Row],[MovementID]]="","",
   _xlfn.XLOOKUP(SessionMovements[[#This Row],[MovementID]], MovementLibrary[MovementID], MovementLibrary[Unit], "")
)</f>
        <v>kg</v>
      </c>
      <c r="F8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2">
        <v>4</v>
      </c>
      <c r="H862">
        <v>3</v>
      </c>
      <c r="J862">
        <v>100</v>
      </c>
      <c r="L862" s="5" t="str">
        <f>IF(COUNTIF(Sessions[SessionID],SessionMovements[[#This Row],[SessionID]])=0,"❌ Missing","✔ OK")</f>
        <v>✔ OK</v>
      </c>
    </row>
    <row r="863" spans="1:12" x14ac:dyDescent="0.3">
      <c r="A863" t="s">
        <v>1256</v>
      </c>
      <c r="B863" t="s">
        <v>756</v>
      </c>
      <c r="C863" t="str">
        <f>IF(SessionMovements[[#This Row],[MovementID]]="","",
   _xlfn.XLOOKUP(SessionMovements[[#This Row],[MovementID]],MovementLibrary[MovementID],MovementLibrary[Name],"")
)</f>
        <v>Ab Wheel Rollout</v>
      </c>
      <c r="D863" s="5" t="str">
        <f>IF(SessionMovements[[#This Row],[MovementID]]="","",
   _xlfn.XLOOKUP(SessionMovements[[#This Row],[MovementID]], MovementLibrary[MovementID], MovementLibrary[Modality], "")
)</f>
        <v>Gymnastics</v>
      </c>
      <c r="E863" s="5" t="str">
        <f>IF(SessionMovements[[#This Row],[MovementID]]="","",
   _xlfn.XLOOKUP(SessionMovements[[#This Row],[MovementID]], MovementLibrary[MovementID], MovementLibrary[Unit], "")
)</f>
        <v>reps</v>
      </c>
      <c r="F8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3">
        <v>3</v>
      </c>
      <c r="H863">
        <v>20</v>
      </c>
      <c r="L863" s="5" t="str">
        <f>IF(COUNTIF(Sessions[SessionID],SessionMovements[[#This Row],[SessionID]])=0,"❌ Missing","✔ OK")</f>
        <v>✔ OK</v>
      </c>
    </row>
    <row r="864" spans="1:12" x14ac:dyDescent="0.3">
      <c r="A864" t="s">
        <v>1257</v>
      </c>
      <c r="B864" t="s">
        <v>795</v>
      </c>
      <c r="C864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64" s="5" t="str">
        <f>IF(SessionMovements[[#This Row],[MovementID]]="","",
   _xlfn.XLOOKUP(SessionMovements[[#This Row],[MovementID]], MovementLibrary[MovementID], MovementLibrary[Modality], "")
)</f>
        <v>Barbell</v>
      </c>
      <c r="E864" s="5" t="str">
        <f>IF(SessionMovements[[#This Row],[MovementID]]="","",
   _xlfn.XLOOKUP(SessionMovements[[#This Row],[MovementID]], MovementLibrary[MovementID], MovementLibrary[Unit], "")
)</f>
        <v>kg</v>
      </c>
      <c r="F8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4">
        <v>3</v>
      </c>
      <c r="H864" t="s">
        <v>1241</v>
      </c>
      <c r="J864">
        <v>70</v>
      </c>
      <c r="L864" s="5" t="str">
        <f>IF(COUNTIF(Sessions[SessionID],SessionMovements[[#This Row],[SessionID]])=0,"❌ Missing","✔ OK")</f>
        <v>✔ OK</v>
      </c>
    </row>
    <row r="865" spans="1:12" x14ac:dyDescent="0.3">
      <c r="A865" t="s">
        <v>1257</v>
      </c>
      <c r="B865" t="s">
        <v>795</v>
      </c>
      <c r="C865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65" s="5" t="str">
        <f>IF(SessionMovements[[#This Row],[MovementID]]="","",
   _xlfn.XLOOKUP(SessionMovements[[#This Row],[MovementID]], MovementLibrary[MovementID], MovementLibrary[Modality], "")
)</f>
        <v>Barbell</v>
      </c>
      <c r="E865" s="5" t="str">
        <f>IF(SessionMovements[[#This Row],[MovementID]]="","",
   _xlfn.XLOOKUP(SessionMovements[[#This Row],[MovementID]], MovementLibrary[MovementID], MovementLibrary[Unit], "")
)</f>
        <v>kg</v>
      </c>
      <c r="F8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5">
        <v>2</v>
      </c>
      <c r="H865" t="s">
        <v>1241</v>
      </c>
      <c r="J865">
        <v>75</v>
      </c>
      <c r="L865" s="5" t="str">
        <f>IF(COUNTIF(Sessions[SessionID],SessionMovements[[#This Row],[SessionID]])=0,"❌ Missing","✔ OK")</f>
        <v>✔ OK</v>
      </c>
    </row>
    <row r="866" spans="1:12" x14ac:dyDescent="0.3">
      <c r="A866" t="s">
        <v>1257</v>
      </c>
      <c r="B866" t="s">
        <v>795</v>
      </c>
      <c r="C866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66" s="5" t="str">
        <f>IF(SessionMovements[[#This Row],[MovementID]]="","",
   _xlfn.XLOOKUP(SessionMovements[[#This Row],[MovementID]], MovementLibrary[MovementID], MovementLibrary[Modality], "")
)</f>
        <v>Barbell</v>
      </c>
      <c r="E866" s="5" t="str">
        <f>IF(SessionMovements[[#This Row],[MovementID]]="","",
   _xlfn.XLOOKUP(SessionMovements[[#This Row],[MovementID]], MovementLibrary[MovementID], MovementLibrary[Unit], "")
)</f>
        <v>kg</v>
      </c>
      <c r="F8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6">
        <v>2</v>
      </c>
      <c r="H866" t="s">
        <v>1241</v>
      </c>
      <c r="J866">
        <v>80</v>
      </c>
      <c r="L866" s="5" t="str">
        <f>IF(COUNTIF(Sessions[SessionID],SessionMovements[[#This Row],[SessionID]])=0,"❌ Missing","✔ OK")</f>
        <v>✔ OK</v>
      </c>
    </row>
    <row r="867" spans="1:12" x14ac:dyDescent="0.3">
      <c r="A867" t="s">
        <v>1257</v>
      </c>
      <c r="B867" t="s">
        <v>797</v>
      </c>
      <c r="C867" t="str">
        <f>IF(SessionMovements[[#This Row],[MovementID]]="","",
   _xlfn.XLOOKUP(SessionMovements[[#This Row],[MovementID]],MovementLibrary[MovementID],MovementLibrary[Name],"")
)</f>
        <v>Power Clean + Power Jerk</v>
      </c>
      <c r="D867" s="5" t="str">
        <f>IF(SessionMovements[[#This Row],[MovementID]]="","",
   _xlfn.XLOOKUP(SessionMovements[[#This Row],[MovementID]], MovementLibrary[MovementID], MovementLibrary[Modality], "")
)</f>
        <v>Barbell</v>
      </c>
      <c r="E867" s="5" t="str">
        <f>IF(SessionMovements[[#This Row],[MovementID]]="","",
   _xlfn.XLOOKUP(SessionMovements[[#This Row],[MovementID]], MovementLibrary[MovementID], MovementLibrary[Unit], "")
)</f>
        <v>kg</v>
      </c>
      <c r="F8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7">
        <v>2</v>
      </c>
      <c r="H867" t="s">
        <v>924</v>
      </c>
      <c r="J867">
        <v>70</v>
      </c>
      <c r="L867" s="5" t="str">
        <f>IF(COUNTIF(Sessions[SessionID],SessionMovements[[#This Row],[SessionID]])=0,"❌ Missing","✔ OK")</f>
        <v>✔ OK</v>
      </c>
    </row>
    <row r="868" spans="1:12" x14ac:dyDescent="0.3">
      <c r="A868" t="s">
        <v>1257</v>
      </c>
      <c r="B868" t="s">
        <v>797</v>
      </c>
      <c r="C868" t="str">
        <f>IF(SessionMovements[[#This Row],[MovementID]]="","",
   _xlfn.XLOOKUP(SessionMovements[[#This Row],[MovementID]],MovementLibrary[MovementID],MovementLibrary[Name],"")
)</f>
        <v>Power Clean + Power Jerk</v>
      </c>
      <c r="D868" s="5" t="str">
        <f>IF(SessionMovements[[#This Row],[MovementID]]="","",
   _xlfn.XLOOKUP(SessionMovements[[#This Row],[MovementID]], MovementLibrary[MovementID], MovementLibrary[Modality], "")
)</f>
        <v>Barbell</v>
      </c>
      <c r="E868" s="5" t="str">
        <f>IF(SessionMovements[[#This Row],[MovementID]]="","",
   _xlfn.XLOOKUP(SessionMovements[[#This Row],[MovementID]], MovementLibrary[MovementID], MovementLibrary[Unit], "")
)</f>
        <v>kg</v>
      </c>
      <c r="F8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8">
        <v>2</v>
      </c>
      <c r="H868" t="s">
        <v>924</v>
      </c>
      <c r="J868">
        <v>75</v>
      </c>
      <c r="L868" s="5" t="str">
        <f>IF(COUNTIF(Sessions[SessionID],SessionMovements[[#This Row],[SessionID]])=0,"❌ Missing","✔ OK")</f>
        <v>✔ OK</v>
      </c>
    </row>
    <row r="869" spans="1:12" x14ac:dyDescent="0.3">
      <c r="A869" t="s">
        <v>1257</v>
      </c>
      <c r="B869" t="s">
        <v>797</v>
      </c>
      <c r="C869" t="str">
        <f>IF(SessionMovements[[#This Row],[MovementID]]="","",
   _xlfn.XLOOKUP(SessionMovements[[#This Row],[MovementID]],MovementLibrary[MovementID],MovementLibrary[Name],"")
)</f>
        <v>Power Clean + Power Jerk</v>
      </c>
      <c r="D869" s="5" t="str">
        <f>IF(SessionMovements[[#This Row],[MovementID]]="","",
   _xlfn.XLOOKUP(SessionMovements[[#This Row],[MovementID]], MovementLibrary[MovementID], MovementLibrary[Modality], "")
)</f>
        <v>Barbell</v>
      </c>
      <c r="E869" s="5" t="str">
        <f>IF(SessionMovements[[#This Row],[MovementID]]="","",
   _xlfn.XLOOKUP(SessionMovements[[#This Row],[MovementID]], MovementLibrary[MovementID], MovementLibrary[Unit], "")
)</f>
        <v>kg</v>
      </c>
      <c r="F8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69">
        <v>2</v>
      </c>
      <c r="H869" t="s">
        <v>924</v>
      </c>
      <c r="J869">
        <v>80</v>
      </c>
      <c r="L869" s="5" t="str">
        <f>IF(COUNTIF(Sessions[SessionID],SessionMovements[[#This Row],[SessionID]])=0,"❌ Missing","✔ OK")</f>
        <v>✔ OK</v>
      </c>
    </row>
    <row r="870" spans="1:12" x14ac:dyDescent="0.3">
      <c r="A870" t="s">
        <v>1257</v>
      </c>
      <c r="B870" t="s">
        <v>534</v>
      </c>
      <c r="C870" t="str">
        <f>IF(SessionMovements[[#This Row],[MovementID]]="","",
   _xlfn.XLOOKUP(SessionMovements[[#This Row],[MovementID]],MovementLibrary[MovementID],MovementLibrary[Name],"")
)</f>
        <v>Snatch Pull</v>
      </c>
      <c r="D870" s="5" t="str">
        <f>IF(SessionMovements[[#This Row],[MovementID]]="","",
   _xlfn.XLOOKUP(SessionMovements[[#This Row],[MovementID]], MovementLibrary[MovementID], MovementLibrary[Modality], "")
)</f>
        <v>Barbell</v>
      </c>
      <c r="E870" s="5" t="str">
        <f>IF(SessionMovements[[#This Row],[MovementID]]="","",
   _xlfn.XLOOKUP(SessionMovements[[#This Row],[MovementID]], MovementLibrary[MovementID], MovementLibrary[Unit], "")
)</f>
        <v>kg</v>
      </c>
      <c r="F8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0">
        <v>4</v>
      </c>
      <c r="H870">
        <v>3</v>
      </c>
      <c r="J870">
        <v>90</v>
      </c>
      <c r="L870" s="5" t="str">
        <f>IF(COUNTIF(Sessions[SessionID],SessionMovements[[#This Row],[SessionID]])=0,"❌ Missing","✔ OK")</f>
        <v>✔ OK</v>
      </c>
    </row>
    <row r="871" spans="1:12" x14ac:dyDescent="0.3">
      <c r="A871" t="s">
        <v>1257</v>
      </c>
      <c r="B871" t="s">
        <v>756</v>
      </c>
      <c r="C871" t="str">
        <f>IF(SessionMovements[[#This Row],[MovementID]]="","",
   _xlfn.XLOOKUP(SessionMovements[[#This Row],[MovementID]],MovementLibrary[MovementID],MovementLibrary[Name],"")
)</f>
        <v>Ab Wheel Rollout</v>
      </c>
      <c r="D871" s="5" t="str">
        <f>IF(SessionMovements[[#This Row],[MovementID]]="","",
   _xlfn.XLOOKUP(SessionMovements[[#This Row],[MovementID]], MovementLibrary[MovementID], MovementLibrary[Modality], "")
)</f>
        <v>Gymnastics</v>
      </c>
      <c r="E871" s="5" t="str">
        <f>IF(SessionMovements[[#This Row],[MovementID]]="","",
   _xlfn.XLOOKUP(SessionMovements[[#This Row],[MovementID]], MovementLibrary[MovementID], MovementLibrary[Unit], "")
)</f>
        <v>reps</v>
      </c>
      <c r="F8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1">
        <v>3</v>
      </c>
      <c r="H871">
        <v>20</v>
      </c>
      <c r="L871" s="5" t="str">
        <f>IF(COUNTIF(Sessions[SessionID],SessionMovements[[#This Row],[SessionID]])=0,"❌ Missing","✔ OK")</f>
        <v>✔ OK</v>
      </c>
    </row>
    <row r="872" spans="1:12" x14ac:dyDescent="0.3">
      <c r="A872" t="s">
        <v>1258</v>
      </c>
      <c r="B872" t="s">
        <v>264</v>
      </c>
      <c r="C872" t="str">
        <f>IF(SessionMovements[[#This Row],[MovementID]]="","",
   _xlfn.XLOOKUP(SessionMovements[[#This Row],[MovementID]],MovementLibrary[MovementID],MovementLibrary[Name],"")
)</f>
        <v>Clean</v>
      </c>
      <c r="D872" s="5" t="str">
        <f>IF(SessionMovements[[#This Row],[MovementID]]="","",
   _xlfn.XLOOKUP(SessionMovements[[#This Row],[MovementID]], MovementLibrary[MovementID], MovementLibrary[Modality], "")
)</f>
        <v>Barbell</v>
      </c>
      <c r="E872" s="5" t="str">
        <f>IF(SessionMovements[[#This Row],[MovementID]]="","",
   _xlfn.XLOOKUP(SessionMovements[[#This Row],[MovementID]], MovementLibrary[MovementID], MovementLibrary[Unit], "")
)</f>
        <v>kg</v>
      </c>
      <c r="F8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2">
        <v>1</v>
      </c>
      <c r="H872">
        <v>3</v>
      </c>
      <c r="J872">
        <v>75</v>
      </c>
      <c r="L872" s="5" t="str">
        <f>IF(COUNTIF(Sessions[SessionID],SessionMovements[[#This Row],[SessionID]])=0,"❌ Missing","✔ OK")</f>
        <v>✔ OK</v>
      </c>
    </row>
    <row r="873" spans="1:12" x14ac:dyDescent="0.3">
      <c r="A873" t="s">
        <v>1258</v>
      </c>
      <c r="B873" t="s">
        <v>264</v>
      </c>
      <c r="C873" t="str">
        <f>IF(SessionMovements[[#This Row],[MovementID]]="","",
   _xlfn.XLOOKUP(SessionMovements[[#This Row],[MovementID]],MovementLibrary[MovementID],MovementLibrary[Name],"")
)</f>
        <v>Clean</v>
      </c>
      <c r="D873" s="5" t="str">
        <f>IF(SessionMovements[[#This Row],[MovementID]]="","",
   _xlfn.XLOOKUP(SessionMovements[[#This Row],[MovementID]], MovementLibrary[MovementID], MovementLibrary[Modality], "")
)</f>
        <v>Barbell</v>
      </c>
      <c r="E873" s="5" t="str">
        <f>IF(SessionMovements[[#This Row],[MovementID]]="","",
   _xlfn.XLOOKUP(SessionMovements[[#This Row],[MovementID]], MovementLibrary[MovementID], MovementLibrary[Unit], "")
)</f>
        <v>kg</v>
      </c>
      <c r="F8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3">
        <v>4</v>
      </c>
      <c r="H873">
        <v>2</v>
      </c>
      <c r="J873">
        <v>80</v>
      </c>
      <c r="L873" s="5" t="str">
        <f>IF(COUNTIF(Sessions[SessionID],SessionMovements[[#This Row],[SessionID]])=0,"❌ Missing","✔ OK")</f>
        <v>✔ OK</v>
      </c>
    </row>
    <row r="874" spans="1:12" x14ac:dyDescent="0.3">
      <c r="A874" t="s">
        <v>1258</v>
      </c>
      <c r="B874" t="s">
        <v>804</v>
      </c>
      <c r="C874" t="str">
        <f>IF(SessionMovements[[#This Row],[MovementID]]="","",
   _xlfn.XLOOKUP(SessionMovements[[#This Row],[MovementID]],MovementLibrary[MovementID],MovementLibrary[Name],"")
)</f>
        <v>Jerk Behind Neck</v>
      </c>
      <c r="D874" s="5" t="str">
        <f>IF(SessionMovements[[#This Row],[MovementID]]="","",
   _xlfn.XLOOKUP(SessionMovements[[#This Row],[MovementID]], MovementLibrary[MovementID], MovementLibrary[Modality], "")
)</f>
        <v>Barbell</v>
      </c>
      <c r="E874" s="5" t="str">
        <f>IF(SessionMovements[[#This Row],[MovementID]]="","",
   _xlfn.XLOOKUP(SessionMovements[[#This Row],[MovementID]], MovementLibrary[MovementID], MovementLibrary[Unit], "")
)</f>
        <v>kg</v>
      </c>
      <c r="F8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4">
        <v>3</v>
      </c>
      <c r="H874">
        <v>3</v>
      </c>
      <c r="J874">
        <v>75</v>
      </c>
      <c r="L874" s="5" t="str">
        <f>IF(COUNTIF(Sessions[SessionID],SessionMovements[[#This Row],[SessionID]])=0,"❌ Missing","✔ OK")</f>
        <v>✔ OK</v>
      </c>
    </row>
    <row r="875" spans="1:12" x14ac:dyDescent="0.3">
      <c r="A875" t="s">
        <v>1258</v>
      </c>
      <c r="B875" t="s">
        <v>804</v>
      </c>
      <c r="C875" t="str">
        <f>IF(SessionMovements[[#This Row],[MovementID]]="","",
   _xlfn.XLOOKUP(SessionMovements[[#This Row],[MovementID]],MovementLibrary[MovementID],MovementLibrary[Name],"")
)</f>
        <v>Jerk Behind Neck</v>
      </c>
      <c r="D875" s="5" t="str">
        <f>IF(SessionMovements[[#This Row],[MovementID]]="","",
   _xlfn.XLOOKUP(SessionMovements[[#This Row],[MovementID]], MovementLibrary[MovementID], MovementLibrary[Modality], "")
)</f>
        <v>Barbell</v>
      </c>
      <c r="E875" s="5" t="str">
        <f>IF(SessionMovements[[#This Row],[MovementID]]="","",
   _xlfn.XLOOKUP(SessionMovements[[#This Row],[MovementID]], MovementLibrary[MovementID], MovementLibrary[Unit], "")
)</f>
        <v>kg</v>
      </c>
      <c r="F8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5">
        <v>4</v>
      </c>
      <c r="H875">
        <v>2</v>
      </c>
      <c r="J875">
        <v>80</v>
      </c>
      <c r="L875" s="5" t="str">
        <f>IF(COUNTIF(Sessions[SessionID],SessionMovements[[#This Row],[SessionID]])=0,"❌ Missing","✔ OK")</f>
        <v>✔ OK</v>
      </c>
    </row>
    <row r="876" spans="1:12" x14ac:dyDescent="0.3">
      <c r="A876" t="s">
        <v>1258</v>
      </c>
      <c r="B876" t="s">
        <v>298</v>
      </c>
      <c r="C876" t="str">
        <f>IF(SessionMovements[[#This Row],[MovementID]]="","",
   _xlfn.XLOOKUP(SessionMovements[[#This Row],[MovementID]],MovementLibrary[MovementID],MovementLibrary[Name],"")
)</f>
        <v>Back Squat</v>
      </c>
      <c r="D876" s="5" t="str">
        <f>IF(SessionMovements[[#This Row],[MovementID]]="","",
   _xlfn.XLOOKUP(SessionMovements[[#This Row],[MovementID]], MovementLibrary[MovementID], MovementLibrary[Modality], "")
)</f>
        <v>Barbell</v>
      </c>
      <c r="E876" s="5" t="str">
        <f>IF(SessionMovements[[#This Row],[MovementID]]="","",
   _xlfn.XLOOKUP(SessionMovements[[#This Row],[MovementID]], MovementLibrary[MovementID], MovementLibrary[Unit], "")
)</f>
        <v>kg</v>
      </c>
      <c r="F8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6">
        <v>5</v>
      </c>
      <c r="H876">
        <v>2</v>
      </c>
      <c r="J876">
        <v>70</v>
      </c>
      <c r="L876" s="5" t="str">
        <f>IF(COUNTIF(Sessions[SessionID],SessionMovements[[#This Row],[SessionID]])=0,"❌ Missing","✔ OK")</f>
        <v>✔ OK</v>
      </c>
    </row>
    <row r="877" spans="1:12" x14ac:dyDescent="0.3">
      <c r="A877" t="s">
        <v>1258</v>
      </c>
      <c r="B877" t="s">
        <v>735</v>
      </c>
      <c r="C877" t="str">
        <f>IF(SessionMovements[[#This Row],[MovementID]]="","",
   _xlfn.XLOOKUP(SessionMovements[[#This Row],[MovementID]],MovementLibrary[MovementID],MovementLibrary[Name],"")
)</f>
        <v>Hollow Rock</v>
      </c>
      <c r="D877" s="5" t="str">
        <f>IF(SessionMovements[[#This Row],[MovementID]]="","",
   _xlfn.XLOOKUP(SessionMovements[[#This Row],[MovementID]], MovementLibrary[MovementID], MovementLibrary[Modality], "")
)</f>
        <v>Gymnastics</v>
      </c>
      <c r="E877" s="5" t="str">
        <f>IF(SessionMovements[[#This Row],[MovementID]]="","",
   _xlfn.XLOOKUP(SessionMovements[[#This Row],[MovementID]], MovementLibrary[MovementID], MovementLibrary[Unit], "")
)</f>
        <v>reps</v>
      </c>
      <c r="F8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7">
        <v>3</v>
      </c>
      <c r="H877">
        <v>20</v>
      </c>
      <c r="L877" s="5" t="str">
        <f>IF(COUNTIF(Sessions[SessionID],SessionMovements[[#This Row],[SessionID]])=0,"❌ Missing","✔ OK")</f>
        <v>✔ OK</v>
      </c>
    </row>
    <row r="878" spans="1:12" x14ac:dyDescent="0.3">
      <c r="A878" t="s">
        <v>1259</v>
      </c>
      <c r="B878" t="s">
        <v>800</v>
      </c>
      <c r="C878" t="str">
        <f>IF(SessionMovements[[#This Row],[MovementID]]="","",
   _xlfn.XLOOKUP(SessionMovements[[#This Row],[MovementID]],MovementLibrary[MovementID],MovementLibrary[Name],"")
)</f>
        <v>Power Clean + Push Press</v>
      </c>
      <c r="D878" s="5" t="str">
        <f>IF(SessionMovements[[#This Row],[MovementID]]="","",
   _xlfn.XLOOKUP(SessionMovements[[#This Row],[MovementID]], MovementLibrary[MovementID], MovementLibrary[Modality], "")
)</f>
        <v>Barbell</v>
      </c>
      <c r="E878" s="5" t="str">
        <f>IF(SessionMovements[[#This Row],[MovementID]]="","",
   _xlfn.XLOOKUP(SessionMovements[[#This Row],[MovementID]], MovementLibrary[MovementID], MovementLibrary[Unit], "")
)</f>
        <v>kg</v>
      </c>
      <c r="F8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8">
        <v>4</v>
      </c>
      <c r="H878" t="s">
        <v>924</v>
      </c>
      <c r="J878">
        <v>75</v>
      </c>
      <c r="K878" t="s">
        <v>1245</v>
      </c>
      <c r="L878" s="5" t="str">
        <f>IF(COUNTIF(Sessions[SessionID],SessionMovements[[#This Row],[SessionID]])=0,"❌ Missing","✔ OK")</f>
        <v>✔ OK</v>
      </c>
    </row>
    <row r="879" spans="1:12" x14ac:dyDescent="0.3">
      <c r="A879" t="s">
        <v>1259</v>
      </c>
      <c r="B879" t="s">
        <v>800</v>
      </c>
      <c r="C879" t="str">
        <f>IF(SessionMovements[[#This Row],[MovementID]]="","",
   _xlfn.XLOOKUP(SessionMovements[[#This Row],[MovementID]],MovementLibrary[MovementID],MovementLibrary[Name],"")
)</f>
        <v>Power Clean + Push Press</v>
      </c>
      <c r="D879" s="5" t="str">
        <f>IF(SessionMovements[[#This Row],[MovementID]]="","",
   _xlfn.XLOOKUP(SessionMovements[[#This Row],[MovementID]], MovementLibrary[MovementID], MovementLibrary[Modality], "")
)</f>
        <v>Barbell</v>
      </c>
      <c r="E879" s="5" t="str">
        <f>IF(SessionMovements[[#This Row],[MovementID]]="","",
   _xlfn.XLOOKUP(SessionMovements[[#This Row],[MovementID]], MovementLibrary[MovementID], MovementLibrary[Unit], "")
)</f>
        <v>kg</v>
      </c>
      <c r="F8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79">
        <v>4</v>
      </c>
      <c r="H879" t="s">
        <v>924</v>
      </c>
      <c r="J879">
        <v>80</v>
      </c>
      <c r="K879" t="s">
        <v>1245</v>
      </c>
      <c r="L879" s="5" t="str">
        <f>IF(COUNTIF(Sessions[SessionID],SessionMovements[[#This Row],[SessionID]])=0,"❌ Missing","✔ OK")</f>
        <v>✔ OK</v>
      </c>
    </row>
    <row r="880" spans="1:12" x14ac:dyDescent="0.3">
      <c r="A880" t="s">
        <v>1259</v>
      </c>
      <c r="B880" t="s">
        <v>292</v>
      </c>
      <c r="C880" t="str">
        <f>IF(SessionMovements[[#This Row],[MovementID]]="","",
   _xlfn.XLOOKUP(SessionMovements[[#This Row],[MovementID]],MovementLibrary[MovementID],MovementLibrary[Name],"")
)</f>
        <v>Push Press</v>
      </c>
      <c r="D880" s="5" t="str">
        <f>IF(SessionMovements[[#This Row],[MovementID]]="","",
   _xlfn.XLOOKUP(SessionMovements[[#This Row],[MovementID]], MovementLibrary[MovementID], MovementLibrary[Modality], "")
)</f>
        <v>Barbell</v>
      </c>
      <c r="E880" s="5" t="str">
        <f>IF(SessionMovements[[#This Row],[MovementID]]="","",
   _xlfn.XLOOKUP(SessionMovements[[#This Row],[MovementID]], MovementLibrary[MovementID], MovementLibrary[Unit], "")
)</f>
        <v>kg</v>
      </c>
      <c r="F8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0">
        <v>2</v>
      </c>
      <c r="H880" t="s">
        <v>979</v>
      </c>
      <c r="J880">
        <v>70</v>
      </c>
      <c r="K880" t="s">
        <v>1254</v>
      </c>
      <c r="L880" s="5" t="str">
        <f>IF(COUNTIF(Sessions[SessionID],SessionMovements[[#This Row],[SessionID]])=0,"❌ Missing","✔ OK")</f>
        <v>✔ OK</v>
      </c>
    </row>
    <row r="881" spans="1:12" x14ac:dyDescent="0.3">
      <c r="A881" t="s">
        <v>1259</v>
      </c>
      <c r="B881" t="s">
        <v>292</v>
      </c>
      <c r="C881" t="str">
        <f>IF(SessionMovements[[#This Row],[MovementID]]="","",
   _xlfn.XLOOKUP(SessionMovements[[#This Row],[MovementID]],MovementLibrary[MovementID],MovementLibrary[Name],"")
)</f>
        <v>Push Press</v>
      </c>
      <c r="D881" s="5" t="str">
        <f>IF(SessionMovements[[#This Row],[MovementID]]="","",
   _xlfn.XLOOKUP(SessionMovements[[#This Row],[MovementID]], MovementLibrary[MovementID], MovementLibrary[Modality], "")
)</f>
        <v>Barbell</v>
      </c>
      <c r="E881" s="5" t="str">
        <f>IF(SessionMovements[[#This Row],[MovementID]]="","",
   _xlfn.XLOOKUP(SessionMovements[[#This Row],[MovementID]], MovementLibrary[MovementID], MovementLibrary[Unit], "")
)</f>
        <v>kg</v>
      </c>
      <c r="F8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1">
        <v>2</v>
      </c>
      <c r="H881" t="s">
        <v>979</v>
      </c>
      <c r="J881">
        <v>75</v>
      </c>
      <c r="K881" t="s">
        <v>1254</v>
      </c>
      <c r="L881" s="5" t="str">
        <f>IF(COUNTIF(Sessions[SessionID],SessionMovements[[#This Row],[SessionID]])=0,"❌ Missing","✔ OK")</f>
        <v>✔ OK</v>
      </c>
    </row>
    <row r="882" spans="1:12" x14ac:dyDescent="0.3">
      <c r="A882" t="s">
        <v>1259</v>
      </c>
      <c r="B882" t="s">
        <v>292</v>
      </c>
      <c r="C882" t="str">
        <f>IF(SessionMovements[[#This Row],[MovementID]]="","",
   _xlfn.XLOOKUP(SessionMovements[[#This Row],[MovementID]],MovementLibrary[MovementID],MovementLibrary[Name],"")
)</f>
        <v>Push Press</v>
      </c>
      <c r="D882" s="5" t="str">
        <f>IF(SessionMovements[[#This Row],[MovementID]]="","",
   _xlfn.XLOOKUP(SessionMovements[[#This Row],[MovementID]], MovementLibrary[MovementID], MovementLibrary[Modality], "")
)</f>
        <v>Barbell</v>
      </c>
      <c r="E882" s="5" t="str">
        <f>IF(SessionMovements[[#This Row],[MovementID]]="","",
   _xlfn.XLOOKUP(SessionMovements[[#This Row],[MovementID]], MovementLibrary[MovementID], MovementLibrary[Unit], "")
)</f>
        <v>kg</v>
      </c>
      <c r="F8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2">
        <v>2</v>
      </c>
      <c r="H882" t="s">
        <v>979</v>
      </c>
      <c r="J882">
        <v>80</v>
      </c>
      <c r="K882" t="s">
        <v>1254</v>
      </c>
      <c r="L882" s="5" t="str">
        <f>IF(COUNTIF(Sessions[SessionID],SessionMovements[[#This Row],[SessionID]])=0,"❌ Missing","✔ OK")</f>
        <v>✔ OK</v>
      </c>
    </row>
    <row r="883" spans="1:12" x14ac:dyDescent="0.3">
      <c r="A883" t="s">
        <v>1259</v>
      </c>
      <c r="B883" t="s">
        <v>537</v>
      </c>
      <c r="C883" t="str">
        <f>IF(SessionMovements[[#This Row],[MovementID]]="","",
   _xlfn.XLOOKUP(SessionMovements[[#This Row],[MovementID]],MovementLibrary[MovementID],MovementLibrary[Name],"")
)</f>
        <v>Clean Pull</v>
      </c>
      <c r="D883" s="5" t="str">
        <f>IF(SessionMovements[[#This Row],[MovementID]]="","",
   _xlfn.XLOOKUP(SessionMovements[[#This Row],[MovementID]], MovementLibrary[MovementID], MovementLibrary[Modality], "")
)</f>
        <v>Barbell</v>
      </c>
      <c r="E883" s="5" t="str">
        <f>IF(SessionMovements[[#This Row],[MovementID]]="","",
   _xlfn.XLOOKUP(SessionMovements[[#This Row],[MovementID]], MovementLibrary[MovementID], MovementLibrary[Unit], "")
)</f>
        <v>kg</v>
      </c>
      <c r="F8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3">
        <v>4</v>
      </c>
      <c r="H883">
        <v>3</v>
      </c>
      <c r="J883">
        <v>95</v>
      </c>
      <c r="L883" s="5" t="str">
        <f>IF(COUNTIF(Sessions[SessionID],SessionMovements[[#This Row],[SessionID]])=0,"❌ Missing","✔ OK")</f>
        <v>✔ OK</v>
      </c>
    </row>
    <row r="884" spans="1:12" x14ac:dyDescent="0.3">
      <c r="A884" t="s">
        <v>1259</v>
      </c>
      <c r="B884" t="s">
        <v>735</v>
      </c>
      <c r="C884" t="str">
        <f>IF(SessionMovements[[#This Row],[MovementID]]="","",
   _xlfn.XLOOKUP(SessionMovements[[#This Row],[MovementID]],MovementLibrary[MovementID],MovementLibrary[Name],"")
)</f>
        <v>Hollow Rock</v>
      </c>
      <c r="D884" s="5" t="str">
        <f>IF(SessionMovements[[#This Row],[MovementID]]="","",
   _xlfn.XLOOKUP(SessionMovements[[#This Row],[MovementID]], MovementLibrary[MovementID], MovementLibrary[Modality], "")
)</f>
        <v>Gymnastics</v>
      </c>
      <c r="E884" s="5" t="str">
        <f>IF(SessionMovements[[#This Row],[MovementID]]="","",
   _xlfn.XLOOKUP(SessionMovements[[#This Row],[MovementID]], MovementLibrary[MovementID], MovementLibrary[Unit], "")
)</f>
        <v>reps</v>
      </c>
      <c r="F8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4">
        <v>3</v>
      </c>
      <c r="H884">
        <v>20</v>
      </c>
      <c r="L884" s="5" t="str">
        <f>IF(COUNTIF(Sessions[SessionID],SessionMovements[[#This Row],[SessionID]])=0,"❌ Missing","✔ OK")</f>
        <v>✔ OK</v>
      </c>
    </row>
    <row r="885" spans="1:12" x14ac:dyDescent="0.3">
      <c r="A885" t="s">
        <v>1260</v>
      </c>
      <c r="B885" t="s">
        <v>296</v>
      </c>
      <c r="C885" t="str">
        <f>IF(SessionMovements[[#This Row],[MovementID]]="","",
   _xlfn.XLOOKUP(SessionMovements[[#This Row],[MovementID]],MovementLibrary[MovementID],MovementLibrary[Name],"")
)</f>
        <v>Front Squat</v>
      </c>
      <c r="D885" s="5" t="str">
        <f>IF(SessionMovements[[#This Row],[MovementID]]="","",
   _xlfn.XLOOKUP(SessionMovements[[#This Row],[MovementID]], MovementLibrary[MovementID], MovementLibrary[Modality], "")
)</f>
        <v>Barbell</v>
      </c>
      <c r="E885" s="5" t="str">
        <f>IF(SessionMovements[[#This Row],[MovementID]]="","",
   _xlfn.XLOOKUP(SessionMovements[[#This Row],[MovementID]], MovementLibrary[MovementID], MovementLibrary[Unit], "")
)</f>
        <v>kg</v>
      </c>
      <c r="F8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5">
        <v>5</v>
      </c>
      <c r="H885">
        <v>1</v>
      </c>
      <c r="J885">
        <v>90</v>
      </c>
      <c r="L885" s="5" t="str">
        <f>IF(COUNTIF(Sessions[SessionID],SessionMovements[[#This Row],[SessionID]])=0,"❌ Missing","✔ OK")</f>
        <v>✔ OK</v>
      </c>
    </row>
    <row r="886" spans="1:12" x14ac:dyDescent="0.3">
      <c r="A886" t="s">
        <v>1260</v>
      </c>
      <c r="B886" t="s">
        <v>260</v>
      </c>
      <c r="C886" t="str">
        <f>IF(SessionMovements[[#This Row],[MovementID]]="","",
   _xlfn.XLOOKUP(SessionMovements[[#This Row],[MovementID]],MovementLibrary[MovementID],MovementLibrary[Name],"")
)</f>
        <v>Snatch</v>
      </c>
      <c r="D886" s="5" t="str">
        <f>IF(SessionMovements[[#This Row],[MovementID]]="","",
   _xlfn.XLOOKUP(SessionMovements[[#This Row],[MovementID]], MovementLibrary[MovementID], MovementLibrary[Modality], "")
)</f>
        <v>Barbell</v>
      </c>
      <c r="E886" s="5" t="str">
        <f>IF(SessionMovements[[#This Row],[MovementID]]="","",
   _xlfn.XLOOKUP(SessionMovements[[#This Row],[MovementID]], MovementLibrary[MovementID], MovementLibrary[Unit], "")
)</f>
        <v>kg</v>
      </c>
      <c r="F8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6">
        <v>1</v>
      </c>
      <c r="H886">
        <v>1</v>
      </c>
      <c r="K886" t="s">
        <v>1248</v>
      </c>
      <c r="L886" s="5" t="str">
        <f>IF(COUNTIF(Sessions[SessionID],SessionMovements[[#This Row],[SessionID]])=0,"❌ Missing","✔ OK")</f>
        <v>✔ OK</v>
      </c>
    </row>
    <row r="887" spans="1:12" x14ac:dyDescent="0.3">
      <c r="A887" t="s">
        <v>1260</v>
      </c>
      <c r="B887" t="s">
        <v>261</v>
      </c>
      <c r="C887" t="str">
        <f>IF(SessionMovements[[#This Row],[MovementID]]="","",
   _xlfn.XLOOKUP(SessionMovements[[#This Row],[MovementID]],MovementLibrary[MovementID],MovementLibrary[Name],"")
)</f>
        <v>Clean &amp; Jerk</v>
      </c>
      <c r="D887" s="5" t="str">
        <f>IF(SessionMovements[[#This Row],[MovementID]]="","",
   _xlfn.XLOOKUP(SessionMovements[[#This Row],[MovementID]], MovementLibrary[MovementID], MovementLibrary[Modality], "")
)</f>
        <v>Barbell</v>
      </c>
      <c r="E887" s="5" t="str">
        <f>IF(SessionMovements[[#This Row],[MovementID]]="","",
   _xlfn.XLOOKUP(SessionMovements[[#This Row],[MovementID]], MovementLibrary[MovementID], MovementLibrary[Unit], "")
)</f>
        <v>kg</v>
      </c>
      <c r="F8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7">
        <v>1</v>
      </c>
      <c r="H887" t="s">
        <v>1249</v>
      </c>
      <c r="K887" t="s">
        <v>1248</v>
      </c>
      <c r="L887" s="5" t="str">
        <f>IF(COUNTIF(Sessions[SessionID],SessionMovements[[#This Row],[SessionID]])=0,"❌ Missing","✔ OK")</f>
        <v>✔ OK</v>
      </c>
    </row>
    <row r="888" spans="1:12" x14ac:dyDescent="0.3">
      <c r="A888" t="s">
        <v>1260</v>
      </c>
      <c r="B888" t="s">
        <v>534</v>
      </c>
      <c r="C888" t="str">
        <f>IF(SessionMovements[[#This Row],[MovementID]]="","",
   _xlfn.XLOOKUP(SessionMovements[[#This Row],[MovementID]],MovementLibrary[MovementID],MovementLibrary[Name],"")
)</f>
        <v>Snatch Pull</v>
      </c>
      <c r="D888" s="5" t="str">
        <f>IF(SessionMovements[[#This Row],[MovementID]]="","",
   _xlfn.XLOOKUP(SessionMovements[[#This Row],[MovementID]], MovementLibrary[MovementID], MovementLibrary[Modality], "")
)</f>
        <v>Barbell</v>
      </c>
      <c r="E888" s="5" t="str">
        <f>IF(SessionMovements[[#This Row],[MovementID]]="","",
   _xlfn.XLOOKUP(SessionMovements[[#This Row],[MovementID]], MovementLibrary[MovementID], MovementLibrary[Unit], "")
)</f>
        <v>kg</v>
      </c>
      <c r="F8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8">
        <v>3</v>
      </c>
      <c r="H888">
        <v>3</v>
      </c>
      <c r="J888">
        <v>100</v>
      </c>
      <c r="L888" s="5" t="str">
        <f>IF(COUNTIF(Sessions[SessionID],SessionMovements[[#This Row],[SessionID]])=0,"❌ Missing","✔ OK")</f>
        <v>✔ OK</v>
      </c>
    </row>
    <row r="889" spans="1:12" x14ac:dyDescent="0.3">
      <c r="A889" t="s">
        <v>1260</v>
      </c>
      <c r="B889" t="s">
        <v>434</v>
      </c>
      <c r="C889" t="str">
        <f>IF(SessionMovements[[#This Row],[MovementID]]="","",
   _xlfn.XLOOKUP(SessionMovements[[#This Row],[MovementID]],MovementLibrary[MovementID],MovementLibrary[Name],"")
)</f>
        <v>Back Extension</v>
      </c>
      <c r="D889" s="5" t="str">
        <f>IF(SessionMovements[[#This Row],[MovementID]]="","",
   _xlfn.XLOOKUP(SessionMovements[[#This Row],[MovementID]], MovementLibrary[MovementID], MovementLibrary[Modality], "")
)</f>
        <v>Gymnastics</v>
      </c>
      <c r="E889" s="5" t="str">
        <f>IF(SessionMovements[[#This Row],[MovementID]]="","",
   _xlfn.XLOOKUP(SessionMovements[[#This Row],[MovementID]], MovementLibrary[MovementID], MovementLibrary[Unit], "")
)</f>
        <v>reps</v>
      </c>
      <c r="F8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89">
        <v>3</v>
      </c>
      <c r="H889">
        <v>20</v>
      </c>
      <c r="L889" s="5" t="str">
        <f>IF(COUNTIF(Sessions[SessionID],SessionMovements[[#This Row],[SessionID]])=0,"❌ Missing","✔ OK")</f>
        <v>✔ OK</v>
      </c>
    </row>
    <row r="890" spans="1:12" x14ac:dyDescent="0.3">
      <c r="A890" t="s">
        <v>1261</v>
      </c>
      <c r="B890" t="s">
        <v>261</v>
      </c>
      <c r="C890" t="str">
        <f>IF(SessionMovements[[#This Row],[MovementID]]="","",
   _xlfn.XLOOKUP(SessionMovements[[#This Row],[MovementID]],MovementLibrary[MovementID],MovementLibrary[Name],"")
)</f>
        <v>Clean &amp; Jerk</v>
      </c>
      <c r="D890" s="5" t="str">
        <f>IF(SessionMovements[[#This Row],[MovementID]]="","",
   _xlfn.XLOOKUP(SessionMovements[[#This Row],[MovementID]], MovementLibrary[MovementID], MovementLibrary[Modality], "")
)</f>
        <v>Barbell</v>
      </c>
      <c r="E890" s="5" t="str">
        <f>IF(SessionMovements[[#This Row],[MovementID]]="","",
   _xlfn.XLOOKUP(SessionMovements[[#This Row],[MovementID]], MovementLibrary[MovementID], MovementLibrary[Unit], "")
)</f>
        <v>kg</v>
      </c>
      <c r="F8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0">
        <v>1</v>
      </c>
      <c r="H890" t="s">
        <v>924</v>
      </c>
      <c r="J890">
        <v>75</v>
      </c>
      <c r="L890" s="5" t="str">
        <f>IF(COUNTIF(Sessions[SessionID],SessionMovements[[#This Row],[SessionID]])=0,"❌ Missing","✔ OK")</f>
        <v>✔ OK</v>
      </c>
    </row>
    <row r="891" spans="1:12" x14ac:dyDescent="0.3">
      <c r="A891" t="s">
        <v>1261</v>
      </c>
      <c r="B891" t="s">
        <v>261</v>
      </c>
      <c r="C891" t="str">
        <f>IF(SessionMovements[[#This Row],[MovementID]]="","",
   _xlfn.XLOOKUP(SessionMovements[[#This Row],[MovementID]],MovementLibrary[MovementID],MovementLibrary[Name],"")
)</f>
        <v>Clean &amp; Jerk</v>
      </c>
      <c r="D891" s="5" t="str">
        <f>IF(SessionMovements[[#This Row],[MovementID]]="","",
   _xlfn.XLOOKUP(SessionMovements[[#This Row],[MovementID]], MovementLibrary[MovementID], MovementLibrary[Modality], "")
)</f>
        <v>Barbell</v>
      </c>
      <c r="E891" s="5" t="str">
        <f>IF(SessionMovements[[#This Row],[MovementID]]="","",
   _xlfn.XLOOKUP(SessionMovements[[#This Row],[MovementID]], MovementLibrary[MovementID], MovementLibrary[Unit], "")
)</f>
        <v>kg</v>
      </c>
      <c r="F8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1">
        <v>2</v>
      </c>
      <c r="H891" t="s">
        <v>1249</v>
      </c>
      <c r="J891">
        <v>80</v>
      </c>
      <c r="L891" s="5" t="str">
        <f>IF(COUNTIF(Sessions[SessionID],SessionMovements[[#This Row],[SessionID]])=0,"❌ Missing","✔ OK")</f>
        <v>✔ OK</v>
      </c>
    </row>
    <row r="892" spans="1:12" x14ac:dyDescent="0.3">
      <c r="A892" t="s">
        <v>1261</v>
      </c>
      <c r="B892" t="s">
        <v>261</v>
      </c>
      <c r="C892" t="str">
        <f>IF(SessionMovements[[#This Row],[MovementID]]="","",
   _xlfn.XLOOKUP(SessionMovements[[#This Row],[MovementID]],MovementLibrary[MovementID],MovementLibrary[Name],"")
)</f>
        <v>Clean &amp; Jerk</v>
      </c>
      <c r="D892" s="5" t="str">
        <f>IF(SessionMovements[[#This Row],[MovementID]]="","",
   _xlfn.XLOOKUP(SessionMovements[[#This Row],[MovementID]], MovementLibrary[MovementID], MovementLibrary[Modality], "")
)</f>
        <v>Barbell</v>
      </c>
      <c r="E892" s="5" t="str">
        <f>IF(SessionMovements[[#This Row],[MovementID]]="","",
   _xlfn.XLOOKUP(SessionMovements[[#This Row],[MovementID]], MovementLibrary[MovementID], MovementLibrary[Unit], "")
)</f>
        <v>kg</v>
      </c>
      <c r="F8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2">
        <v>2</v>
      </c>
      <c r="H892" t="s">
        <v>1249</v>
      </c>
      <c r="J892">
        <v>85</v>
      </c>
      <c r="L892" s="5" t="str">
        <f>IF(COUNTIF(Sessions[SessionID],SessionMovements[[#This Row],[SessionID]])=0,"❌ Missing","✔ OK")</f>
        <v>✔ OK</v>
      </c>
    </row>
    <row r="893" spans="1:12" x14ac:dyDescent="0.3">
      <c r="A893" t="s">
        <v>1261</v>
      </c>
      <c r="B893" t="s">
        <v>537</v>
      </c>
      <c r="C893" t="str">
        <f>IF(SessionMovements[[#This Row],[MovementID]]="","",
   _xlfn.XLOOKUP(SessionMovements[[#This Row],[MovementID]],MovementLibrary[MovementID],MovementLibrary[Name],"")
)</f>
        <v>Clean Pull</v>
      </c>
      <c r="D893" s="5" t="str">
        <f>IF(SessionMovements[[#This Row],[MovementID]]="","",
   _xlfn.XLOOKUP(SessionMovements[[#This Row],[MovementID]], MovementLibrary[MovementID], MovementLibrary[Modality], "")
)</f>
        <v>Barbell</v>
      </c>
      <c r="E893" s="5" t="str">
        <f>IF(SessionMovements[[#This Row],[MovementID]]="","",
   _xlfn.XLOOKUP(SessionMovements[[#This Row],[MovementID]], MovementLibrary[MovementID], MovementLibrary[Unit], "")
)</f>
        <v>kg</v>
      </c>
      <c r="F8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3">
        <v>1</v>
      </c>
      <c r="H893">
        <v>3</v>
      </c>
      <c r="J893">
        <v>95</v>
      </c>
      <c r="L893" s="5" t="str">
        <f>IF(COUNTIF(Sessions[SessionID],SessionMovements[[#This Row],[SessionID]])=0,"❌ Missing","✔ OK")</f>
        <v>✔ OK</v>
      </c>
    </row>
    <row r="894" spans="1:12" x14ac:dyDescent="0.3">
      <c r="A894" t="s">
        <v>1261</v>
      </c>
      <c r="B894" t="s">
        <v>537</v>
      </c>
      <c r="C894" t="str">
        <f>IF(SessionMovements[[#This Row],[MovementID]]="","",
   _xlfn.XLOOKUP(SessionMovements[[#This Row],[MovementID]],MovementLibrary[MovementID],MovementLibrary[Name],"")
)</f>
        <v>Clean Pull</v>
      </c>
      <c r="D894" s="5" t="str">
        <f>IF(SessionMovements[[#This Row],[MovementID]]="","",
   _xlfn.XLOOKUP(SessionMovements[[#This Row],[MovementID]], MovementLibrary[MovementID], MovementLibrary[Modality], "")
)</f>
        <v>Barbell</v>
      </c>
      <c r="E894" s="5" t="str">
        <f>IF(SessionMovements[[#This Row],[MovementID]]="","",
   _xlfn.XLOOKUP(SessionMovements[[#This Row],[MovementID]], MovementLibrary[MovementID], MovementLibrary[Unit], "")
)</f>
        <v>kg</v>
      </c>
      <c r="F8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4">
        <v>1</v>
      </c>
      <c r="H894">
        <v>3</v>
      </c>
      <c r="J894">
        <v>100</v>
      </c>
      <c r="L894" s="5" t="str">
        <f>IF(COUNTIF(Sessions[SessionID],SessionMovements[[#This Row],[SessionID]])=0,"❌ Missing","✔ OK")</f>
        <v>✔ OK</v>
      </c>
    </row>
    <row r="895" spans="1:12" x14ac:dyDescent="0.3">
      <c r="A895" t="s">
        <v>1261</v>
      </c>
      <c r="B895" t="s">
        <v>537</v>
      </c>
      <c r="C895" t="str">
        <f>IF(SessionMovements[[#This Row],[MovementID]]="","",
   _xlfn.XLOOKUP(SessionMovements[[#This Row],[MovementID]],MovementLibrary[MovementID],MovementLibrary[Name],"")
)</f>
        <v>Clean Pull</v>
      </c>
      <c r="D895" s="5" t="str">
        <f>IF(SessionMovements[[#This Row],[MovementID]]="","",
   _xlfn.XLOOKUP(SessionMovements[[#This Row],[MovementID]], MovementLibrary[MovementID], MovementLibrary[Modality], "")
)</f>
        <v>Barbell</v>
      </c>
      <c r="E895" s="5" t="str">
        <f>IF(SessionMovements[[#This Row],[MovementID]]="","",
   _xlfn.XLOOKUP(SessionMovements[[#This Row],[MovementID]], MovementLibrary[MovementID], MovementLibrary[Unit], "")
)</f>
        <v>kg</v>
      </c>
      <c r="F8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5">
        <v>3</v>
      </c>
      <c r="H895">
        <v>2</v>
      </c>
      <c r="J895">
        <v>105</v>
      </c>
      <c r="L895" s="5" t="str">
        <f>IF(COUNTIF(Sessions[SessionID],SessionMovements[[#This Row],[SessionID]])=0,"❌ Missing","✔ OK")</f>
        <v>✔ OK</v>
      </c>
    </row>
    <row r="896" spans="1:12" x14ac:dyDescent="0.3">
      <c r="A896" t="s">
        <v>1261</v>
      </c>
      <c r="B896" t="s">
        <v>298</v>
      </c>
      <c r="C896" t="str">
        <f>IF(SessionMovements[[#This Row],[MovementID]]="","",
   _xlfn.XLOOKUP(SessionMovements[[#This Row],[MovementID]],MovementLibrary[MovementID],MovementLibrary[Name],"")
)</f>
        <v>Back Squat</v>
      </c>
      <c r="D896" s="5" t="str">
        <f>IF(SessionMovements[[#This Row],[MovementID]]="","",
   _xlfn.XLOOKUP(SessionMovements[[#This Row],[MovementID]], MovementLibrary[MovementID], MovementLibrary[Modality], "")
)</f>
        <v>Barbell</v>
      </c>
      <c r="E896" s="5" t="str">
        <f>IF(SessionMovements[[#This Row],[MovementID]]="","",
   _xlfn.XLOOKUP(SessionMovements[[#This Row],[MovementID]], MovementLibrary[MovementID], MovementLibrary[Unit], "")
)</f>
        <v>kg</v>
      </c>
      <c r="F8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6">
        <v>5</v>
      </c>
      <c r="H896">
        <v>2</v>
      </c>
      <c r="J896">
        <v>70</v>
      </c>
      <c r="L896" s="5" t="str">
        <f>IF(COUNTIF(Sessions[SessionID],SessionMovements[[#This Row],[SessionID]])=0,"❌ Missing","✔ OK")</f>
        <v>✔ OK</v>
      </c>
    </row>
    <row r="897" spans="1:12" x14ac:dyDescent="0.3">
      <c r="A897" t="s">
        <v>1261</v>
      </c>
      <c r="B897" t="s">
        <v>434</v>
      </c>
      <c r="C897" t="str">
        <f>IF(SessionMovements[[#This Row],[MovementID]]="","",
   _xlfn.XLOOKUP(SessionMovements[[#This Row],[MovementID]],MovementLibrary[MovementID],MovementLibrary[Name],"")
)</f>
        <v>Back Extension</v>
      </c>
      <c r="D897" s="5" t="str">
        <f>IF(SessionMovements[[#This Row],[MovementID]]="","",
   _xlfn.XLOOKUP(SessionMovements[[#This Row],[MovementID]], MovementLibrary[MovementID], MovementLibrary[Modality], "")
)</f>
        <v>Gymnastics</v>
      </c>
      <c r="E897" s="5" t="str">
        <f>IF(SessionMovements[[#This Row],[MovementID]]="","",
   _xlfn.XLOOKUP(SessionMovements[[#This Row],[MovementID]], MovementLibrary[MovementID], MovementLibrary[Unit], "")
)</f>
        <v>reps</v>
      </c>
      <c r="F8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7">
        <v>3</v>
      </c>
      <c r="H897">
        <v>20</v>
      </c>
      <c r="L897" s="5" t="str">
        <f>IF(COUNTIF(Sessions[SessionID],SessionMovements[[#This Row],[SessionID]])=0,"❌ Missing","✔ OK")</f>
        <v>✔ OK</v>
      </c>
    </row>
    <row r="898" spans="1:12" x14ac:dyDescent="0.3">
      <c r="A898" t="s">
        <v>1262</v>
      </c>
      <c r="B898" t="s">
        <v>795</v>
      </c>
      <c r="C898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98" s="5" t="str">
        <f>IF(SessionMovements[[#This Row],[MovementID]]="","",
   _xlfn.XLOOKUP(SessionMovements[[#This Row],[MovementID]], MovementLibrary[MovementID], MovementLibrary[Modality], "")
)</f>
        <v>Barbell</v>
      </c>
      <c r="E898" s="5" t="str">
        <f>IF(SessionMovements[[#This Row],[MovementID]]="","",
   _xlfn.XLOOKUP(SessionMovements[[#This Row],[MovementID]], MovementLibrary[MovementID], MovementLibrary[Unit], "")
)</f>
        <v>kg</v>
      </c>
      <c r="F8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8">
        <v>1</v>
      </c>
      <c r="H898" t="s">
        <v>924</v>
      </c>
      <c r="J898">
        <v>70</v>
      </c>
      <c r="L898" s="5" t="str">
        <f>IF(COUNTIF(Sessions[SessionID],SessionMovements[[#This Row],[SessionID]])=0,"❌ Missing","✔ OK")</f>
        <v>✔ OK</v>
      </c>
    </row>
    <row r="899" spans="1:12" x14ac:dyDescent="0.3">
      <c r="A899" t="s">
        <v>1262</v>
      </c>
      <c r="B899" t="s">
        <v>795</v>
      </c>
      <c r="C899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899" s="5" t="str">
        <f>IF(SessionMovements[[#This Row],[MovementID]]="","",
   _xlfn.XLOOKUP(SessionMovements[[#This Row],[MovementID]], MovementLibrary[MovementID], MovementLibrary[Modality], "")
)</f>
        <v>Barbell</v>
      </c>
      <c r="E899" s="5" t="str">
        <f>IF(SessionMovements[[#This Row],[MovementID]]="","",
   _xlfn.XLOOKUP(SessionMovements[[#This Row],[MovementID]], MovementLibrary[MovementID], MovementLibrary[Unit], "")
)</f>
        <v>kg</v>
      </c>
      <c r="F8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899">
        <v>1</v>
      </c>
      <c r="H899" t="s">
        <v>924</v>
      </c>
      <c r="J899">
        <v>75</v>
      </c>
      <c r="L899" s="5" t="str">
        <f>IF(COUNTIF(Sessions[SessionID],SessionMovements[[#This Row],[SessionID]])=0,"❌ Missing","✔ OK")</f>
        <v>✔ OK</v>
      </c>
    </row>
    <row r="900" spans="1:12" x14ac:dyDescent="0.3">
      <c r="A900" t="s">
        <v>1262</v>
      </c>
      <c r="B900" t="s">
        <v>795</v>
      </c>
      <c r="C900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900" s="5" t="str">
        <f>IF(SessionMovements[[#This Row],[MovementID]]="","",
   _xlfn.XLOOKUP(SessionMovements[[#This Row],[MovementID]], MovementLibrary[MovementID], MovementLibrary[Modality], "")
)</f>
        <v>Barbell</v>
      </c>
      <c r="E900" s="5" t="str">
        <f>IF(SessionMovements[[#This Row],[MovementID]]="","",
   _xlfn.XLOOKUP(SessionMovements[[#This Row],[MovementID]], MovementLibrary[MovementID], MovementLibrary[Unit], "")
)</f>
        <v>kg</v>
      </c>
      <c r="F9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0">
        <v>1</v>
      </c>
      <c r="H900" t="s">
        <v>924</v>
      </c>
      <c r="J900">
        <v>80</v>
      </c>
      <c r="L900" s="5" t="str">
        <f>IF(COUNTIF(Sessions[SessionID],SessionMovements[[#This Row],[SessionID]])=0,"❌ Missing","✔ OK")</f>
        <v>✔ OK</v>
      </c>
    </row>
    <row r="901" spans="1:12" x14ac:dyDescent="0.3">
      <c r="A901" t="s">
        <v>1262</v>
      </c>
      <c r="B901" t="s">
        <v>795</v>
      </c>
      <c r="C901" t="str">
        <f>IF(SessionMovements[[#This Row],[MovementID]]="","",
   _xlfn.XLOOKUP(SessionMovements[[#This Row],[MovementID]],MovementLibrary[MovementID],MovementLibrary[Name],"")
)</f>
        <v>Power Snatch + Snatch Push Press + Overhead Squat</v>
      </c>
      <c r="D901" s="5" t="str">
        <f>IF(SessionMovements[[#This Row],[MovementID]]="","",
   _xlfn.XLOOKUP(SessionMovements[[#This Row],[MovementID]], MovementLibrary[MovementID], MovementLibrary[Modality], "")
)</f>
        <v>Barbell</v>
      </c>
      <c r="E901" s="5" t="str">
        <f>IF(SessionMovements[[#This Row],[MovementID]]="","",
   _xlfn.XLOOKUP(SessionMovements[[#This Row],[MovementID]], MovementLibrary[MovementID], MovementLibrary[Unit], "")
)</f>
        <v>kg</v>
      </c>
      <c r="F9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1">
        <v>3</v>
      </c>
      <c r="H901" t="s">
        <v>1249</v>
      </c>
      <c r="J901">
        <v>85</v>
      </c>
      <c r="L901" s="5" t="str">
        <f>IF(COUNTIF(Sessions[SessionID],SessionMovements[[#This Row],[SessionID]])=0,"❌ Missing","✔ OK")</f>
        <v>✔ OK</v>
      </c>
    </row>
    <row r="902" spans="1:12" x14ac:dyDescent="0.3">
      <c r="A902" t="s">
        <v>1262</v>
      </c>
      <c r="B902" t="s">
        <v>797</v>
      </c>
      <c r="C902" t="str">
        <f>IF(SessionMovements[[#This Row],[MovementID]]="","",
   _xlfn.XLOOKUP(SessionMovements[[#This Row],[MovementID]],MovementLibrary[MovementID],MovementLibrary[Name],"")
)</f>
        <v>Power Clean + Power Jerk</v>
      </c>
      <c r="D902" s="5" t="str">
        <f>IF(SessionMovements[[#This Row],[MovementID]]="","",
   _xlfn.XLOOKUP(SessionMovements[[#This Row],[MovementID]], MovementLibrary[MovementID], MovementLibrary[Modality], "")
)</f>
        <v>Barbell</v>
      </c>
      <c r="E902" s="5" t="str">
        <f>IF(SessionMovements[[#This Row],[MovementID]]="","",
   _xlfn.XLOOKUP(SessionMovements[[#This Row],[MovementID]], MovementLibrary[MovementID], MovementLibrary[Unit], "")
)</f>
        <v>kg</v>
      </c>
      <c r="F9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2">
        <v>1</v>
      </c>
      <c r="H902" t="s">
        <v>924</v>
      </c>
      <c r="J902">
        <v>70</v>
      </c>
      <c r="L902" s="5" t="str">
        <f>IF(COUNTIF(Sessions[SessionID],SessionMovements[[#This Row],[SessionID]])=0,"❌ Missing","✔ OK")</f>
        <v>✔ OK</v>
      </c>
    </row>
    <row r="903" spans="1:12" x14ac:dyDescent="0.3">
      <c r="A903" t="s">
        <v>1262</v>
      </c>
      <c r="B903" t="s">
        <v>797</v>
      </c>
      <c r="C903" t="str">
        <f>IF(SessionMovements[[#This Row],[MovementID]]="","",
   _xlfn.XLOOKUP(SessionMovements[[#This Row],[MovementID]],MovementLibrary[MovementID],MovementLibrary[Name],"")
)</f>
        <v>Power Clean + Power Jerk</v>
      </c>
      <c r="D903" s="5" t="str">
        <f>IF(SessionMovements[[#This Row],[MovementID]]="","",
   _xlfn.XLOOKUP(SessionMovements[[#This Row],[MovementID]], MovementLibrary[MovementID], MovementLibrary[Modality], "")
)</f>
        <v>Barbell</v>
      </c>
      <c r="E903" s="5" t="str">
        <f>IF(SessionMovements[[#This Row],[MovementID]]="","",
   _xlfn.XLOOKUP(SessionMovements[[#This Row],[MovementID]], MovementLibrary[MovementID], MovementLibrary[Unit], "")
)</f>
        <v>kg</v>
      </c>
      <c r="F9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3">
        <v>1</v>
      </c>
      <c r="H903" t="s">
        <v>924</v>
      </c>
      <c r="J903">
        <v>75</v>
      </c>
      <c r="L903" s="5" t="str">
        <f>IF(COUNTIF(Sessions[SessionID],SessionMovements[[#This Row],[SessionID]])=0,"❌ Missing","✔ OK")</f>
        <v>✔ OK</v>
      </c>
    </row>
    <row r="904" spans="1:12" x14ac:dyDescent="0.3">
      <c r="A904" t="s">
        <v>1262</v>
      </c>
      <c r="B904" t="s">
        <v>797</v>
      </c>
      <c r="C904" t="str">
        <f>IF(SessionMovements[[#This Row],[MovementID]]="","",
   _xlfn.XLOOKUP(SessionMovements[[#This Row],[MovementID]],MovementLibrary[MovementID],MovementLibrary[Name],"")
)</f>
        <v>Power Clean + Power Jerk</v>
      </c>
      <c r="D904" s="5" t="str">
        <f>IF(SessionMovements[[#This Row],[MovementID]]="","",
   _xlfn.XLOOKUP(SessionMovements[[#This Row],[MovementID]], MovementLibrary[MovementID], MovementLibrary[Modality], "")
)</f>
        <v>Barbell</v>
      </c>
      <c r="E904" s="5" t="str">
        <f>IF(SessionMovements[[#This Row],[MovementID]]="","",
   _xlfn.XLOOKUP(SessionMovements[[#This Row],[MovementID]], MovementLibrary[MovementID], MovementLibrary[Unit], "")
)</f>
        <v>kg</v>
      </c>
      <c r="F9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4">
        <v>1</v>
      </c>
      <c r="H904" t="s">
        <v>1249</v>
      </c>
      <c r="J904">
        <v>80</v>
      </c>
      <c r="L904" s="5" t="str">
        <f>IF(COUNTIF(Sessions[SessionID],SessionMovements[[#This Row],[SessionID]])=0,"❌ Missing","✔ OK")</f>
        <v>✔ OK</v>
      </c>
    </row>
    <row r="905" spans="1:12" x14ac:dyDescent="0.3">
      <c r="A905" t="s">
        <v>1262</v>
      </c>
      <c r="B905" t="s">
        <v>797</v>
      </c>
      <c r="C905" t="str">
        <f>IF(SessionMovements[[#This Row],[MovementID]]="","",
   _xlfn.XLOOKUP(SessionMovements[[#This Row],[MovementID]],MovementLibrary[MovementID],MovementLibrary[Name],"")
)</f>
        <v>Power Clean + Power Jerk</v>
      </c>
      <c r="D905" s="5" t="str">
        <f>IF(SessionMovements[[#This Row],[MovementID]]="","",
   _xlfn.XLOOKUP(SessionMovements[[#This Row],[MovementID]], MovementLibrary[MovementID], MovementLibrary[Modality], "")
)</f>
        <v>Barbell</v>
      </c>
      <c r="E905" s="5" t="str">
        <f>IF(SessionMovements[[#This Row],[MovementID]]="","",
   _xlfn.XLOOKUP(SessionMovements[[#This Row],[MovementID]], MovementLibrary[MovementID], MovementLibrary[Unit], "")
)</f>
        <v>kg</v>
      </c>
      <c r="F9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5">
        <v>3</v>
      </c>
      <c r="H905" t="s">
        <v>1249</v>
      </c>
      <c r="J905">
        <v>85</v>
      </c>
      <c r="L905" s="5" t="str">
        <f>IF(COUNTIF(Sessions[SessionID],SessionMovements[[#This Row],[SessionID]])=0,"❌ Missing","✔ OK")</f>
        <v>✔ OK</v>
      </c>
    </row>
    <row r="906" spans="1:12" x14ac:dyDescent="0.3">
      <c r="A906" t="s">
        <v>1262</v>
      </c>
      <c r="B906" t="s">
        <v>534</v>
      </c>
      <c r="C906" t="str">
        <f>IF(SessionMovements[[#This Row],[MovementID]]="","",
   _xlfn.XLOOKUP(SessionMovements[[#This Row],[MovementID]],MovementLibrary[MovementID],MovementLibrary[Name],"")
)</f>
        <v>Snatch Pull</v>
      </c>
      <c r="D906" s="5" t="str">
        <f>IF(SessionMovements[[#This Row],[MovementID]]="","",
   _xlfn.XLOOKUP(SessionMovements[[#This Row],[MovementID]], MovementLibrary[MovementID], MovementLibrary[Modality], "")
)</f>
        <v>Barbell</v>
      </c>
      <c r="E906" s="5" t="str">
        <f>IF(SessionMovements[[#This Row],[MovementID]]="","",
   _xlfn.XLOOKUP(SessionMovements[[#This Row],[MovementID]], MovementLibrary[MovementID], MovementLibrary[Unit], "")
)</f>
        <v>kg</v>
      </c>
      <c r="F9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6">
        <v>2</v>
      </c>
      <c r="H906">
        <v>2</v>
      </c>
      <c r="J906">
        <v>95</v>
      </c>
      <c r="L906" s="5" t="str">
        <f>IF(COUNTIF(Sessions[SessionID],SessionMovements[[#This Row],[SessionID]])=0,"❌ Missing","✔ OK")</f>
        <v>✔ OK</v>
      </c>
    </row>
    <row r="907" spans="1:12" x14ac:dyDescent="0.3">
      <c r="A907" t="s">
        <v>1262</v>
      </c>
      <c r="B907" t="s">
        <v>534</v>
      </c>
      <c r="C907" t="str">
        <f>IF(SessionMovements[[#This Row],[MovementID]]="","",
   _xlfn.XLOOKUP(SessionMovements[[#This Row],[MovementID]],MovementLibrary[MovementID],MovementLibrary[Name],"")
)</f>
        <v>Snatch Pull</v>
      </c>
      <c r="D907" s="5" t="str">
        <f>IF(SessionMovements[[#This Row],[MovementID]]="","",
   _xlfn.XLOOKUP(SessionMovements[[#This Row],[MovementID]], MovementLibrary[MovementID], MovementLibrary[Modality], "")
)</f>
        <v>Barbell</v>
      </c>
      <c r="E907" s="5" t="str">
        <f>IF(SessionMovements[[#This Row],[MovementID]]="","",
   _xlfn.XLOOKUP(SessionMovements[[#This Row],[MovementID]], MovementLibrary[MovementID], MovementLibrary[Unit], "")
)</f>
        <v>kg</v>
      </c>
      <c r="F9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7">
        <v>2</v>
      </c>
      <c r="H907">
        <v>2</v>
      </c>
      <c r="J907">
        <v>100</v>
      </c>
      <c r="L907" s="5" t="str">
        <f>IF(COUNTIF(Sessions[SessionID],SessionMovements[[#This Row],[SessionID]])=0,"❌ Missing","✔ OK")</f>
        <v>✔ OK</v>
      </c>
    </row>
    <row r="908" spans="1:12" x14ac:dyDescent="0.3">
      <c r="A908" t="s">
        <v>1262</v>
      </c>
      <c r="B908" t="s">
        <v>434</v>
      </c>
      <c r="C908" t="str">
        <f>IF(SessionMovements[[#This Row],[MovementID]]="","",
   _xlfn.XLOOKUP(SessionMovements[[#This Row],[MovementID]],MovementLibrary[MovementID],MovementLibrary[Name],"")
)</f>
        <v>Back Extension</v>
      </c>
      <c r="D908" s="5" t="str">
        <f>IF(SessionMovements[[#This Row],[MovementID]]="","",
   _xlfn.XLOOKUP(SessionMovements[[#This Row],[MovementID]], MovementLibrary[MovementID], MovementLibrary[Modality], "")
)</f>
        <v>Gymnastics</v>
      </c>
      <c r="E908" s="5" t="str">
        <f>IF(SessionMovements[[#This Row],[MovementID]]="","",
   _xlfn.XLOOKUP(SessionMovements[[#This Row],[MovementID]], MovementLibrary[MovementID], MovementLibrary[Unit], "")
)</f>
        <v>reps</v>
      </c>
      <c r="F9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8">
        <v>3</v>
      </c>
      <c r="H908">
        <v>20</v>
      </c>
      <c r="L908" s="5" t="str">
        <f>IF(COUNTIF(Sessions[SessionID],SessionMovements[[#This Row],[SessionID]])=0,"❌ Missing","✔ OK")</f>
        <v>✔ OK</v>
      </c>
    </row>
    <row r="909" spans="1:12" x14ac:dyDescent="0.3">
      <c r="A909" t="s">
        <v>1263</v>
      </c>
      <c r="B909" t="s">
        <v>296</v>
      </c>
      <c r="C909" t="str">
        <f>IF(SessionMovements[[#This Row],[MovementID]]="","",
   _xlfn.XLOOKUP(SessionMovements[[#This Row],[MovementID]],MovementLibrary[MovementID],MovementLibrary[Name],"")
)</f>
        <v>Front Squat</v>
      </c>
      <c r="D909" s="5" t="str">
        <f>IF(SessionMovements[[#This Row],[MovementID]]="","",
   _xlfn.XLOOKUP(SessionMovements[[#This Row],[MovementID]], MovementLibrary[MovementID], MovementLibrary[Modality], "")
)</f>
        <v>Barbell</v>
      </c>
      <c r="E909" s="5" t="str">
        <f>IF(SessionMovements[[#This Row],[MovementID]]="","",
   _xlfn.XLOOKUP(SessionMovements[[#This Row],[MovementID]], MovementLibrary[MovementID], MovementLibrary[Unit], "")
)</f>
        <v>kg</v>
      </c>
      <c r="F9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09">
        <v>3</v>
      </c>
      <c r="H909">
        <v>2</v>
      </c>
      <c r="J909">
        <v>90</v>
      </c>
      <c r="L909" s="5" t="str">
        <f>IF(COUNTIF(Sessions[SessionID],SessionMovements[[#This Row],[SessionID]])=0,"❌ Missing","✔ OK")</f>
        <v>✔ OK</v>
      </c>
    </row>
    <row r="910" spans="1:12" x14ac:dyDescent="0.3">
      <c r="A910" t="s">
        <v>1263</v>
      </c>
      <c r="B910" t="s">
        <v>260</v>
      </c>
      <c r="C910" t="str">
        <f>IF(SessionMovements[[#This Row],[MovementID]]="","",
   _xlfn.XLOOKUP(SessionMovements[[#This Row],[MovementID]],MovementLibrary[MovementID],MovementLibrary[Name],"")
)</f>
        <v>Snatch</v>
      </c>
      <c r="D910" s="5" t="str">
        <f>IF(SessionMovements[[#This Row],[MovementID]]="","",
   _xlfn.XLOOKUP(SessionMovements[[#This Row],[MovementID]], MovementLibrary[MovementID], MovementLibrary[Modality], "")
)</f>
        <v>Barbell</v>
      </c>
      <c r="E910" s="5" t="str">
        <f>IF(SessionMovements[[#This Row],[MovementID]]="","",
   _xlfn.XLOOKUP(SessionMovements[[#This Row],[MovementID]], MovementLibrary[MovementID], MovementLibrary[Unit], "")
)</f>
        <v>kg</v>
      </c>
      <c r="F9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0">
        <v>1</v>
      </c>
      <c r="H910">
        <v>2</v>
      </c>
      <c r="J910">
        <v>75</v>
      </c>
      <c r="L910" s="5" t="str">
        <f>IF(COUNTIF(Sessions[SessionID],SessionMovements[[#This Row],[SessionID]])=0,"❌ Missing","✔ OK")</f>
        <v>✔ OK</v>
      </c>
    </row>
    <row r="911" spans="1:12" x14ac:dyDescent="0.3">
      <c r="A911" t="s">
        <v>1263</v>
      </c>
      <c r="B911" t="s">
        <v>260</v>
      </c>
      <c r="C911" t="str">
        <f>IF(SessionMovements[[#This Row],[MovementID]]="","",
   _xlfn.XLOOKUP(SessionMovements[[#This Row],[MovementID]],MovementLibrary[MovementID],MovementLibrary[Name],"")
)</f>
        <v>Snatch</v>
      </c>
      <c r="D911" s="5" t="str">
        <f>IF(SessionMovements[[#This Row],[MovementID]]="","",
   _xlfn.XLOOKUP(SessionMovements[[#This Row],[MovementID]], MovementLibrary[MovementID], MovementLibrary[Modality], "")
)</f>
        <v>Barbell</v>
      </c>
      <c r="E911" s="5" t="str">
        <f>IF(SessionMovements[[#This Row],[MovementID]]="","",
   _xlfn.XLOOKUP(SessionMovements[[#This Row],[MovementID]], MovementLibrary[MovementID], MovementLibrary[Unit], "")
)</f>
        <v>kg</v>
      </c>
      <c r="F9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1">
        <v>2</v>
      </c>
      <c r="H911">
        <v>2</v>
      </c>
      <c r="J911">
        <v>80</v>
      </c>
      <c r="L911" s="5" t="str">
        <f>IF(COUNTIF(Sessions[SessionID],SessionMovements[[#This Row],[SessionID]])=0,"❌ Missing","✔ OK")</f>
        <v>✔ OK</v>
      </c>
    </row>
    <row r="912" spans="1:12" x14ac:dyDescent="0.3">
      <c r="A912" t="s">
        <v>1263</v>
      </c>
      <c r="B912" t="s">
        <v>260</v>
      </c>
      <c r="C912" t="str">
        <f>IF(SessionMovements[[#This Row],[MovementID]]="","",
   _xlfn.XLOOKUP(SessionMovements[[#This Row],[MovementID]],MovementLibrary[MovementID],MovementLibrary[Name],"")
)</f>
        <v>Snatch</v>
      </c>
      <c r="D912" s="5" t="str">
        <f>IF(SessionMovements[[#This Row],[MovementID]]="","",
   _xlfn.XLOOKUP(SessionMovements[[#This Row],[MovementID]], MovementLibrary[MovementID], MovementLibrary[Modality], "")
)</f>
        <v>Barbell</v>
      </c>
      <c r="E912" s="5" t="str">
        <f>IF(SessionMovements[[#This Row],[MovementID]]="","",
   _xlfn.XLOOKUP(SessionMovements[[#This Row],[MovementID]], MovementLibrary[MovementID], MovementLibrary[Unit], "")
)</f>
        <v>kg</v>
      </c>
      <c r="F9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2">
        <v>3</v>
      </c>
      <c r="H912">
        <v>1</v>
      </c>
      <c r="J912">
        <v>85</v>
      </c>
      <c r="L912" s="5" t="str">
        <f>IF(COUNTIF(Sessions[SessionID],SessionMovements[[#This Row],[SessionID]])=0,"❌ Missing","✔ OK")</f>
        <v>✔ OK</v>
      </c>
    </row>
    <row r="913" spans="1:12" x14ac:dyDescent="0.3">
      <c r="A913" t="s">
        <v>1263</v>
      </c>
      <c r="B913" t="s">
        <v>263</v>
      </c>
      <c r="C913" t="str">
        <f>IF(SessionMovements[[#This Row],[MovementID]]="","",
   _xlfn.XLOOKUP(SessionMovements[[#This Row],[MovementID]],MovementLibrary[MovementID],MovementLibrary[Name],"")
)</f>
        <v>Split Jerk</v>
      </c>
      <c r="D913" s="5" t="str">
        <f>IF(SessionMovements[[#This Row],[MovementID]]="","",
   _xlfn.XLOOKUP(SessionMovements[[#This Row],[MovementID]], MovementLibrary[MovementID], MovementLibrary[Modality], "")
)</f>
        <v>Barbell</v>
      </c>
      <c r="E913" s="5" t="str">
        <f>IF(SessionMovements[[#This Row],[MovementID]]="","",
   _xlfn.XLOOKUP(SessionMovements[[#This Row],[MovementID]], MovementLibrary[MovementID], MovementLibrary[Unit], "")
)</f>
        <v>kg</v>
      </c>
      <c r="F9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3">
        <v>1</v>
      </c>
      <c r="H913">
        <v>2</v>
      </c>
      <c r="J913">
        <v>75</v>
      </c>
      <c r="L913" s="5" t="str">
        <f>IF(COUNTIF(Sessions[SessionID],SessionMovements[[#This Row],[SessionID]])=0,"❌ Missing","✔ OK")</f>
        <v>✔ OK</v>
      </c>
    </row>
    <row r="914" spans="1:12" x14ac:dyDescent="0.3">
      <c r="A914" t="s">
        <v>1263</v>
      </c>
      <c r="B914" t="s">
        <v>263</v>
      </c>
      <c r="C914" t="str">
        <f>IF(SessionMovements[[#This Row],[MovementID]]="","",
   _xlfn.XLOOKUP(SessionMovements[[#This Row],[MovementID]],MovementLibrary[MovementID],MovementLibrary[Name],"")
)</f>
        <v>Split Jerk</v>
      </c>
      <c r="D914" s="5" t="str">
        <f>IF(SessionMovements[[#This Row],[MovementID]]="","",
   _xlfn.XLOOKUP(SessionMovements[[#This Row],[MovementID]], MovementLibrary[MovementID], MovementLibrary[Modality], "")
)</f>
        <v>Barbell</v>
      </c>
      <c r="E914" s="5" t="str">
        <f>IF(SessionMovements[[#This Row],[MovementID]]="","",
   _xlfn.XLOOKUP(SessionMovements[[#This Row],[MovementID]], MovementLibrary[MovementID], MovementLibrary[Unit], "")
)</f>
        <v>kg</v>
      </c>
      <c r="F9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4">
        <v>2</v>
      </c>
      <c r="H914">
        <v>2</v>
      </c>
      <c r="J914">
        <v>80</v>
      </c>
      <c r="L914" s="5" t="str">
        <f>IF(COUNTIF(Sessions[SessionID],SessionMovements[[#This Row],[SessionID]])=0,"❌ Missing","✔ OK")</f>
        <v>✔ OK</v>
      </c>
    </row>
    <row r="915" spans="1:12" x14ac:dyDescent="0.3">
      <c r="A915" t="s">
        <v>1263</v>
      </c>
      <c r="B915" t="s">
        <v>263</v>
      </c>
      <c r="C915" t="str">
        <f>IF(SessionMovements[[#This Row],[MovementID]]="","",
   _xlfn.XLOOKUP(SessionMovements[[#This Row],[MovementID]],MovementLibrary[MovementID],MovementLibrary[Name],"")
)</f>
        <v>Split Jerk</v>
      </c>
      <c r="D915" s="5" t="str">
        <f>IF(SessionMovements[[#This Row],[MovementID]]="","",
   _xlfn.XLOOKUP(SessionMovements[[#This Row],[MovementID]], MovementLibrary[MovementID], MovementLibrary[Modality], "")
)</f>
        <v>Barbell</v>
      </c>
      <c r="E915" s="5" t="str">
        <f>IF(SessionMovements[[#This Row],[MovementID]]="","",
   _xlfn.XLOOKUP(SessionMovements[[#This Row],[MovementID]], MovementLibrary[MovementID], MovementLibrary[Unit], "")
)</f>
        <v>kg</v>
      </c>
      <c r="F9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5">
        <v>3</v>
      </c>
      <c r="H915">
        <v>1</v>
      </c>
      <c r="J915">
        <v>85</v>
      </c>
      <c r="L915" s="5" t="str">
        <f>IF(COUNTIF(Sessions[SessionID],SessionMovements[[#This Row],[SessionID]])=0,"❌ Missing","✔ OK")</f>
        <v>✔ OK</v>
      </c>
    </row>
    <row r="916" spans="1:12" x14ac:dyDescent="0.3">
      <c r="A916" t="s">
        <v>1263</v>
      </c>
      <c r="B916" t="s">
        <v>534</v>
      </c>
      <c r="C916" t="str">
        <f>IF(SessionMovements[[#This Row],[MovementID]]="","",
   _xlfn.XLOOKUP(SessionMovements[[#This Row],[MovementID]],MovementLibrary[MovementID],MovementLibrary[Name],"")
)</f>
        <v>Snatch Pull</v>
      </c>
      <c r="D916" s="5" t="str">
        <f>IF(SessionMovements[[#This Row],[MovementID]]="","",
   _xlfn.XLOOKUP(SessionMovements[[#This Row],[MovementID]], MovementLibrary[MovementID], MovementLibrary[Modality], "")
)</f>
        <v>Barbell</v>
      </c>
      <c r="E916" s="5" t="str">
        <f>IF(SessionMovements[[#This Row],[MovementID]]="","",
   _xlfn.XLOOKUP(SessionMovements[[#This Row],[MovementID]], MovementLibrary[MovementID], MovementLibrary[Unit], "")
)</f>
        <v>kg</v>
      </c>
      <c r="F9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6">
        <v>2</v>
      </c>
      <c r="H916">
        <v>3</v>
      </c>
      <c r="J916">
        <v>100</v>
      </c>
      <c r="L916" s="5" t="str">
        <f>IF(COUNTIF(Sessions[SessionID],SessionMovements[[#This Row],[SessionID]])=0,"❌ Missing","✔ OK")</f>
        <v>✔ OK</v>
      </c>
    </row>
    <row r="917" spans="1:12" x14ac:dyDescent="0.3">
      <c r="A917" t="s">
        <v>1263</v>
      </c>
      <c r="B917" t="s">
        <v>534</v>
      </c>
      <c r="C917" t="str">
        <f>IF(SessionMovements[[#This Row],[MovementID]]="","",
   _xlfn.XLOOKUP(SessionMovements[[#This Row],[MovementID]],MovementLibrary[MovementID],MovementLibrary[Name],"")
)</f>
        <v>Snatch Pull</v>
      </c>
      <c r="D917" s="5" t="str">
        <f>IF(SessionMovements[[#This Row],[MovementID]]="","",
   _xlfn.XLOOKUP(SessionMovements[[#This Row],[MovementID]], MovementLibrary[MovementID], MovementLibrary[Modality], "")
)</f>
        <v>Barbell</v>
      </c>
      <c r="E917" s="5" t="str">
        <f>IF(SessionMovements[[#This Row],[MovementID]]="","",
   _xlfn.XLOOKUP(SessionMovements[[#This Row],[MovementID]], MovementLibrary[MovementID], MovementLibrary[Unit], "")
)</f>
        <v>kg</v>
      </c>
      <c r="F9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7">
        <v>2</v>
      </c>
      <c r="H917">
        <v>2</v>
      </c>
      <c r="J917">
        <v>105</v>
      </c>
      <c r="L917" s="5" t="str">
        <f>IF(COUNTIF(Sessions[SessionID],SessionMovements[[#This Row],[SessionID]])=0,"❌ Missing","✔ OK")</f>
        <v>✔ OK</v>
      </c>
    </row>
    <row r="918" spans="1:12" x14ac:dyDescent="0.3">
      <c r="A918" t="s">
        <v>1263</v>
      </c>
      <c r="B918" t="s">
        <v>434</v>
      </c>
      <c r="C918" t="str">
        <f>IF(SessionMovements[[#This Row],[MovementID]]="","",
   _xlfn.XLOOKUP(SessionMovements[[#This Row],[MovementID]],MovementLibrary[MovementID],MovementLibrary[Name],"")
)</f>
        <v>Back Extension</v>
      </c>
      <c r="D918" s="5" t="str">
        <f>IF(SessionMovements[[#This Row],[MovementID]]="","",
   _xlfn.XLOOKUP(SessionMovements[[#This Row],[MovementID]], MovementLibrary[MovementID], MovementLibrary[Modality], "")
)</f>
        <v>Gymnastics</v>
      </c>
      <c r="E918" s="5" t="str">
        <f>IF(SessionMovements[[#This Row],[MovementID]]="","",
   _xlfn.XLOOKUP(SessionMovements[[#This Row],[MovementID]], MovementLibrary[MovementID], MovementLibrary[Unit], "")
)</f>
        <v>reps</v>
      </c>
      <c r="F9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8">
        <v>3</v>
      </c>
      <c r="H918">
        <v>20</v>
      </c>
      <c r="L918" s="5" t="str">
        <f>IF(COUNTIF(Sessions[SessionID],SessionMovements[[#This Row],[SessionID]])=0,"❌ Missing","✔ OK")</f>
        <v>✔ OK</v>
      </c>
    </row>
    <row r="919" spans="1:12" x14ac:dyDescent="0.3">
      <c r="A919" t="s">
        <v>1264</v>
      </c>
      <c r="B919" t="s">
        <v>797</v>
      </c>
      <c r="C919" t="str">
        <f>IF(SessionMovements[[#This Row],[MovementID]]="","",
   _xlfn.XLOOKUP(SessionMovements[[#This Row],[MovementID]],MovementLibrary[MovementID],MovementLibrary[Name],"")
)</f>
        <v>Power Clean + Power Jerk</v>
      </c>
      <c r="D919" s="5" t="str">
        <f>IF(SessionMovements[[#This Row],[MovementID]]="","",
   _xlfn.XLOOKUP(SessionMovements[[#This Row],[MovementID]], MovementLibrary[MovementID], MovementLibrary[Modality], "")
)</f>
        <v>Barbell</v>
      </c>
      <c r="E919" s="5" t="str">
        <f>IF(SessionMovements[[#This Row],[MovementID]]="","",
   _xlfn.XLOOKUP(SessionMovements[[#This Row],[MovementID]], MovementLibrary[MovementID], MovementLibrary[Unit], "")
)</f>
        <v>kg</v>
      </c>
      <c r="F9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19">
        <v>4</v>
      </c>
      <c r="H919" t="s">
        <v>924</v>
      </c>
      <c r="J919">
        <v>75</v>
      </c>
      <c r="L919" s="5" t="str">
        <f>IF(COUNTIF(Sessions[SessionID],SessionMovements[[#This Row],[SessionID]])=0,"❌ Missing","✔ OK")</f>
        <v>✔ OK</v>
      </c>
    </row>
    <row r="920" spans="1:12" x14ac:dyDescent="0.3">
      <c r="A920" t="s">
        <v>1264</v>
      </c>
      <c r="B920" t="s">
        <v>537</v>
      </c>
      <c r="C920" t="str">
        <f>IF(SessionMovements[[#This Row],[MovementID]]="","",
   _xlfn.XLOOKUP(SessionMovements[[#This Row],[MovementID]],MovementLibrary[MovementID],MovementLibrary[Name],"")
)</f>
        <v>Clean Pull</v>
      </c>
      <c r="D920" s="5" t="str">
        <f>IF(SessionMovements[[#This Row],[MovementID]]="","",
   _xlfn.XLOOKUP(SessionMovements[[#This Row],[MovementID]], MovementLibrary[MovementID], MovementLibrary[Modality], "")
)</f>
        <v>Barbell</v>
      </c>
      <c r="E920" s="5" t="str">
        <f>IF(SessionMovements[[#This Row],[MovementID]]="","",
   _xlfn.XLOOKUP(SessionMovements[[#This Row],[MovementID]], MovementLibrary[MovementID], MovementLibrary[Unit], "")
)</f>
        <v>kg</v>
      </c>
      <c r="F9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0">
        <v>3</v>
      </c>
      <c r="H920">
        <v>3</v>
      </c>
      <c r="J920">
        <v>95</v>
      </c>
      <c r="L920" s="5" t="str">
        <f>IF(COUNTIF(Sessions[SessionID],SessionMovements[[#This Row],[SessionID]])=0,"❌ Missing","✔ OK")</f>
        <v>✔ OK</v>
      </c>
    </row>
    <row r="921" spans="1:12" x14ac:dyDescent="0.3">
      <c r="A921" t="s">
        <v>1264</v>
      </c>
      <c r="B921" t="s">
        <v>434</v>
      </c>
      <c r="C921" t="str">
        <f>IF(SessionMovements[[#This Row],[MovementID]]="","",
   _xlfn.XLOOKUP(SessionMovements[[#This Row],[MovementID]],MovementLibrary[MovementID],MovementLibrary[Name],"")
)</f>
        <v>Back Extension</v>
      </c>
      <c r="D921" s="5" t="str">
        <f>IF(SessionMovements[[#This Row],[MovementID]]="","",
   _xlfn.XLOOKUP(SessionMovements[[#This Row],[MovementID]], MovementLibrary[MovementID], MovementLibrary[Modality], "")
)</f>
        <v>Gymnastics</v>
      </c>
      <c r="E921" s="5" t="str">
        <f>IF(SessionMovements[[#This Row],[MovementID]]="","",
   _xlfn.XLOOKUP(SessionMovements[[#This Row],[MovementID]], MovementLibrary[MovementID], MovementLibrary[Unit], "")
)</f>
        <v>reps</v>
      </c>
      <c r="F9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1">
        <v>3</v>
      </c>
      <c r="H921">
        <v>20</v>
      </c>
      <c r="L921" s="5" t="str">
        <f>IF(COUNTIF(Sessions[SessionID],SessionMovements[[#This Row],[SessionID]])=0,"❌ Missing","✔ OK")</f>
        <v>✔ OK</v>
      </c>
    </row>
    <row r="922" spans="1:12" x14ac:dyDescent="0.3">
      <c r="A922" t="s">
        <v>1265</v>
      </c>
      <c r="B922" t="s">
        <v>260</v>
      </c>
      <c r="C922" t="str">
        <f>IF(SessionMovements[[#This Row],[MovementID]]="","",
   _xlfn.XLOOKUP(SessionMovements[[#This Row],[MovementID]],MovementLibrary[MovementID],MovementLibrary[Name],"")
)</f>
        <v>Snatch</v>
      </c>
      <c r="D922" s="5" t="str">
        <f>IF(SessionMovements[[#This Row],[MovementID]]="","",
   _xlfn.XLOOKUP(SessionMovements[[#This Row],[MovementID]], MovementLibrary[MovementID], MovementLibrary[Modality], "")
)</f>
        <v>Barbell</v>
      </c>
      <c r="E922" s="5" t="str">
        <f>IF(SessionMovements[[#This Row],[MovementID]]="","",
   _xlfn.XLOOKUP(SessionMovements[[#This Row],[MovementID]], MovementLibrary[MovementID], MovementLibrary[Unit], "")
)</f>
        <v>kg</v>
      </c>
      <c r="F9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2">
        <v>1</v>
      </c>
      <c r="H922">
        <v>1</v>
      </c>
      <c r="K922" t="s">
        <v>1248</v>
      </c>
      <c r="L922" s="5" t="str">
        <f>IF(COUNTIF(Sessions[SessionID],SessionMovements[[#This Row],[SessionID]])=0,"❌ Missing","✔ OK")</f>
        <v>✔ OK</v>
      </c>
    </row>
    <row r="923" spans="1:12" x14ac:dyDescent="0.3">
      <c r="A923" t="s">
        <v>1265</v>
      </c>
      <c r="B923" t="s">
        <v>261</v>
      </c>
      <c r="C923" t="str">
        <f>IF(SessionMovements[[#This Row],[MovementID]]="","",
   _xlfn.XLOOKUP(SessionMovements[[#This Row],[MovementID]],MovementLibrary[MovementID],MovementLibrary[Name],"")
)</f>
        <v>Clean &amp; Jerk</v>
      </c>
      <c r="D923" s="5" t="str">
        <f>IF(SessionMovements[[#This Row],[MovementID]]="","",
   _xlfn.XLOOKUP(SessionMovements[[#This Row],[MovementID]], MovementLibrary[MovementID], MovementLibrary[Modality], "")
)</f>
        <v>Barbell</v>
      </c>
      <c r="E923" s="5" t="str">
        <f>IF(SessionMovements[[#This Row],[MovementID]]="","",
   _xlfn.XLOOKUP(SessionMovements[[#This Row],[MovementID]], MovementLibrary[MovementID], MovementLibrary[Unit], "")
)</f>
        <v>kg</v>
      </c>
      <c r="F9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3">
        <v>1</v>
      </c>
      <c r="H923" t="s">
        <v>1249</v>
      </c>
      <c r="K923" t="s">
        <v>1248</v>
      </c>
      <c r="L923" s="5" t="str">
        <f>IF(COUNTIF(Sessions[SessionID],SessionMovements[[#This Row],[SessionID]])=0,"❌ Missing","✔ OK")</f>
        <v>✔ OK</v>
      </c>
    </row>
    <row r="924" spans="1:12" x14ac:dyDescent="0.3">
      <c r="A924" t="s">
        <v>1265</v>
      </c>
      <c r="B924" t="s">
        <v>537</v>
      </c>
      <c r="C924" t="str">
        <f>IF(SessionMovements[[#This Row],[MovementID]]="","",
   _xlfn.XLOOKUP(SessionMovements[[#This Row],[MovementID]],MovementLibrary[MovementID],MovementLibrary[Name],"")
)</f>
        <v>Clean Pull</v>
      </c>
      <c r="D924" s="5" t="str">
        <f>IF(SessionMovements[[#This Row],[MovementID]]="","",
   _xlfn.XLOOKUP(SessionMovements[[#This Row],[MovementID]], MovementLibrary[MovementID], MovementLibrary[Modality], "")
)</f>
        <v>Barbell</v>
      </c>
      <c r="E924" s="5" t="str">
        <f>IF(SessionMovements[[#This Row],[MovementID]]="","",
   _xlfn.XLOOKUP(SessionMovements[[#This Row],[MovementID]], MovementLibrary[MovementID], MovementLibrary[Unit], "")
)</f>
        <v>kg</v>
      </c>
      <c r="F9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4">
        <v>3</v>
      </c>
      <c r="H924">
        <v>3</v>
      </c>
      <c r="J924">
        <v>105</v>
      </c>
      <c r="L924" s="5" t="str">
        <f>IF(COUNTIF(Sessions[SessionID],SessionMovements[[#This Row],[SessionID]])=0,"❌ Missing","✔ OK")</f>
        <v>✔ OK</v>
      </c>
    </row>
    <row r="925" spans="1:12" x14ac:dyDescent="0.3">
      <c r="A925" t="s">
        <v>1265</v>
      </c>
      <c r="B925" t="s">
        <v>298</v>
      </c>
      <c r="C925" t="str">
        <f>IF(SessionMovements[[#This Row],[MovementID]]="","",
   _xlfn.XLOOKUP(SessionMovements[[#This Row],[MovementID]],MovementLibrary[MovementID],MovementLibrary[Name],"")
)</f>
        <v>Back Squat</v>
      </c>
      <c r="D925" s="5" t="str">
        <f>IF(SessionMovements[[#This Row],[MovementID]]="","",
   _xlfn.XLOOKUP(SessionMovements[[#This Row],[MovementID]], MovementLibrary[MovementID], MovementLibrary[Modality], "")
)</f>
        <v>Barbell</v>
      </c>
      <c r="E925" s="5" t="str">
        <f>IF(SessionMovements[[#This Row],[MovementID]]="","",
   _xlfn.XLOOKUP(SessionMovements[[#This Row],[MovementID]], MovementLibrary[MovementID], MovementLibrary[Unit], "")
)</f>
        <v>kg</v>
      </c>
      <c r="F9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5">
        <v>5</v>
      </c>
      <c r="H925">
        <v>2</v>
      </c>
      <c r="J925">
        <v>70</v>
      </c>
      <c r="L925" s="5" t="str">
        <f>IF(COUNTIF(Sessions[SessionID],SessionMovements[[#This Row],[SessionID]])=0,"❌ Missing","✔ OK")</f>
        <v>✔ OK</v>
      </c>
    </row>
    <row r="926" spans="1:12" x14ac:dyDescent="0.3">
      <c r="A926" t="s">
        <v>1265</v>
      </c>
      <c r="B926" t="s">
        <v>434</v>
      </c>
      <c r="C926" t="str">
        <f>IF(SessionMovements[[#This Row],[MovementID]]="","",
   _xlfn.XLOOKUP(SessionMovements[[#This Row],[MovementID]],MovementLibrary[MovementID],MovementLibrary[Name],"")
)</f>
        <v>Back Extension</v>
      </c>
      <c r="D926" s="5" t="str">
        <f>IF(SessionMovements[[#This Row],[MovementID]]="","",
   _xlfn.XLOOKUP(SessionMovements[[#This Row],[MovementID]], MovementLibrary[MovementID], MovementLibrary[Modality], "")
)</f>
        <v>Gymnastics</v>
      </c>
      <c r="E926" s="5" t="str">
        <f>IF(SessionMovements[[#This Row],[MovementID]]="","",
   _xlfn.XLOOKUP(SessionMovements[[#This Row],[MovementID]], MovementLibrary[MovementID], MovementLibrary[Unit], "")
)</f>
        <v>reps</v>
      </c>
      <c r="F9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6">
        <v>3</v>
      </c>
      <c r="H926">
        <v>20</v>
      </c>
      <c r="L926" s="5" t="str">
        <f>IF(COUNTIF(Sessions[SessionID],SessionMovements[[#This Row],[SessionID]])=0,"❌ Missing","✔ OK")</f>
        <v>✔ OK</v>
      </c>
    </row>
    <row r="927" spans="1:12" x14ac:dyDescent="0.3">
      <c r="A927" t="s">
        <v>1266</v>
      </c>
      <c r="B927" t="s">
        <v>296</v>
      </c>
      <c r="C927" t="str">
        <f>IF(SessionMovements[[#This Row],[MovementID]]="","",
   _xlfn.XLOOKUP(SessionMovements[[#This Row],[MovementID]],MovementLibrary[MovementID],MovementLibrary[Name],"")
)</f>
        <v>Front Squat</v>
      </c>
      <c r="D927" s="5" t="str">
        <f>IF(SessionMovements[[#This Row],[MovementID]]="","",
   _xlfn.XLOOKUP(SessionMovements[[#This Row],[MovementID]], MovementLibrary[MovementID], MovementLibrary[Modality], "")
)</f>
        <v>Barbell</v>
      </c>
      <c r="E927" s="5" t="str">
        <f>IF(SessionMovements[[#This Row],[MovementID]]="","",
   _xlfn.XLOOKUP(SessionMovements[[#This Row],[MovementID]], MovementLibrary[MovementID], MovementLibrary[Unit], "")
)</f>
        <v>kg</v>
      </c>
      <c r="F9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7">
        <v>3</v>
      </c>
      <c r="H927">
        <v>1</v>
      </c>
      <c r="J927">
        <v>95</v>
      </c>
      <c r="L927" s="5" t="str">
        <f>IF(COUNTIF(Sessions[SessionID],SessionMovements[[#This Row],[SessionID]])=0,"❌ Missing","✔ OK")</f>
        <v>✔ OK</v>
      </c>
    </row>
    <row r="928" spans="1:12" x14ac:dyDescent="0.3">
      <c r="A928" t="s">
        <v>1266</v>
      </c>
      <c r="B928" t="s">
        <v>260</v>
      </c>
      <c r="C928" t="str">
        <f>IF(SessionMovements[[#This Row],[MovementID]]="","",
   _xlfn.XLOOKUP(SessionMovements[[#This Row],[MovementID]],MovementLibrary[MovementID],MovementLibrary[Name],"")
)</f>
        <v>Snatch</v>
      </c>
      <c r="D928" s="5" t="str">
        <f>IF(SessionMovements[[#This Row],[MovementID]]="","",
   _xlfn.XLOOKUP(SessionMovements[[#This Row],[MovementID]], MovementLibrary[MovementID], MovementLibrary[Modality], "")
)</f>
        <v>Barbell</v>
      </c>
      <c r="E928" s="5" t="str">
        <f>IF(SessionMovements[[#This Row],[MovementID]]="","",
   _xlfn.XLOOKUP(SessionMovements[[#This Row],[MovementID]], MovementLibrary[MovementID], MovementLibrary[Unit], "")
)</f>
        <v>kg</v>
      </c>
      <c r="F9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8">
        <v>2</v>
      </c>
      <c r="H928">
        <v>2</v>
      </c>
      <c r="J928">
        <v>70</v>
      </c>
      <c r="L928" s="5" t="str">
        <f>IF(COUNTIF(Sessions[SessionID],SessionMovements[[#This Row],[SessionID]])=0,"❌ Missing","✔ OK")</f>
        <v>✔ OK</v>
      </c>
    </row>
    <row r="929" spans="1:12" x14ac:dyDescent="0.3">
      <c r="A929" t="s">
        <v>1266</v>
      </c>
      <c r="B929" t="s">
        <v>260</v>
      </c>
      <c r="C929" t="str">
        <f>IF(SessionMovements[[#This Row],[MovementID]]="","",
   _xlfn.XLOOKUP(SessionMovements[[#This Row],[MovementID]],MovementLibrary[MovementID],MovementLibrary[Name],"")
)</f>
        <v>Snatch</v>
      </c>
      <c r="D929" s="5" t="str">
        <f>IF(SessionMovements[[#This Row],[MovementID]]="","",
   _xlfn.XLOOKUP(SessionMovements[[#This Row],[MovementID]], MovementLibrary[MovementID], MovementLibrary[Modality], "")
)</f>
        <v>Barbell</v>
      </c>
      <c r="E929" s="5" t="str">
        <f>IF(SessionMovements[[#This Row],[MovementID]]="","",
   _xlfn.XLOOKUP(SessionMovements[[#This Row],[MovementID]], MovementLibrary[MovementID], MovementLibrary[Unit], "")
)</f>
        <v>kg</v>
      </c>
      <c r="F9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29">
        <v>2</v>
      </c>
      <c r="H929">
        <v>2</v>
      </c>
      <c r="J929">
        <v>75</v>
      </c>
      <c r="L929" s="5" t="str">
        <f>IF(COUNTIF(Sessions[SessionID],SessionMovements[[#This Row],[SessionID]])=0,"❌ Missing","✔ OK")</f>
        <v>✔ OK</v>
      </c>
    </row>
    <row r="930" spans="1:12" x14ac:dyDescent="0.3">
      <c r="A930" t="s">
        <v>1266</v>
      </c>
      <c r="B930" t="s">
        <v>260</v>
      </c>
      <c r="C930" t="str">
        <f>IF(SessionMovements[[#This Row],[MovementID]]="","",
   _xlfn.XLOOKUP(SessionMovements[[#This Row],[MovementID]],MovementLibrary[MovementID],MovementLibrary[Name],"")
)</f>
        <v>Snatch</v>
      </c>
      <c r="D930" s="5" t="str">
        <f>IF(SessionMovements[[#This Row],[MovementID]]="","",
   _xlfn.XLOOKUP(SessionMovements[[#This Row],[MovementID]], MovementLibrary[MovementID], MovementLibrary[Modality], "")
)</f>
        <v>Barbell</v>
      </c>
      <c r="E930" s="5" t="str">
        <f>IF(SessionMovements[[#This Row],[MovementID]]="","",
   _xlfn.XLOOKUP(SessionMovements[[#This Row],[MovementID]], MovementLibrary[MovementID], MovementLibrary[Unit], "")
)</f>
        <v>kg</v>
      </c>
      <c r="F9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0">
        <v>3</v>
      </c>
      <c r="H930">
        <v>1</v>
      </c>
      <c r="J930">
        <v>80</v>
      </c>
      <c r="L930" s="5" t="str">
        <f>IF(COUNTIF(Sessions[SessionID],SessionMovements[[#This Row],[SessionID]])=0,"❌ Missing","✔ OK")</f>
        <v>✔ OK</v>
      </c>
    </row>
    <row r="931" spans="1:12" x14ac:dyDescent="0.3">
      <c r="A931" t="s">
        <v>1266</v>
      </c>
      <c r="B931" t="s">
        <v>260</v>
      </c>
      <c r="C931" t="str">
        <f>IF(SessionMovements[[#This Row],[MovementID]]="","",
   _xlfn.XLOOKUP(SessionMovements[[#This Row],[MovementID]],MovementLibrary[MovementID],MovementLibrary[Name],"")
)</f>
        <v>Snatch</v>
      </c>
      <c r="D931" s="5" t="str">
        <f>IF(SessionMovements[[#This Row],[MovementID]]="","",
   _xlfn.XLOOKUP(SessionMovements[[#This Row],[MovementID]], MovementLibrary[MovementID], MovementLibrary[Modality], "")
)</f>
        <v>Barbell</v>
      </c>
      <c r="E931" s="5" t="str">
        <f>IF(SessionMovements[[#This Row],[MovementID]]="","",
   _xlfn.XLOOKUP(SessionMovements[[#This Row],[MovementID]], MovementLibrary[MovementID], MovementLibrary[Unit], "")
)</f>
        <v>kg</v>
      </c>
      <c r="F9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1">
        <v>3</v>
      </c>
      <c r="H931">
        <v>1</v>
      </c>
      <c r="J931">
        <v>85</v>
      </c>
      <c r="L931" s="5" t="str">
        <f>IF(COUNTIF(Sessions[SessionID],SessionMovements[[#This Row],[SessionID]])=0,"❌ Missing","✔ OK")</f>
        <v>✔ OK</v>
      </c>
    </row>
    <row r="932" spans="1:12" x14ac:dyDescent="0.3">
      <c r="A932" t="s">
        <v>1266</v>
      </c>
      <c r="B932" t="s">
        <v>261</v>
      </c>
      <c r="C932" t="str">
        <f>IF(SessionMovements[[#This Row],[MovementID]]="","",
   _xlfn.XLOOKUP(SessionMovements[[#This Row],[MovementID]],MovementLibrary[MovementID],MovementLibrary[Name],"")
)</f>
        <v>Clean &amp; Jerk</v>
      </c>
      <c r="D932" s="5" t="str">
        <f>IF(SessionMovements[[#This Row],[MovementID]]="","",
   _xlfn.XLOOKUP(SessionMovements[[#This Row],[MovementID]], MovementLibrary[MovementID], MovementLibrary[Modality], "")
)</f>
        <v>Barbell</v>
      </c>
      <c r="E932" s="5" t="str">
        <f>IF(SessionMovements[[#This Row],[MovementID]]="","",
   _xlfn.XLOOKUP(SessionMovements[[#This Row],[MovementID]], MovementLibrary[MovementID], MovementLibrary[Unit], "")
)</f>
        <v>kg</v>
      </c>
      <c r="F9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2">
        <v>1</v>
      </c>
      <c r="H932" t="s">
        <v>1249</v>
      </c>
      <c r="J932">
        <v>70</v>
      </c>
      <c r="L932" s="5" t="str">
        <f>IF(COUNTIF(Sessions[SessionID],SessionMovements[[#This Row],[SessionID]])=0,"❌ Missing","✔ OK")</f>
        <v>✔ OK</v>
      </c>
    </row>
    <row r="933" spans="1:12" x14ac:dyDescent="0.3">
      <c r="A933" t="s">
        <v>1266</v>
      </c>
      <c r="B933" t="s">
        <v>261</v>
      </c>
      <c r="C933" t="str">
        <f>IF(SessionMovements[[#This Row],[MovementID]]="","",
   _xlfn.XLOOKUP(SessionMovements[[#This Row],[MovementID]],MovementLibrary[MovementID],MovementLibrary[Name],"")
)</f>
        <v>Clean &amp; Jerk</v>
      </c>
      <c r="D933" s="5" t="str">
        <f>IF(SessionMovements[[#This Row],[MovementID]]="","",
   _xlfn.XLOOKUP(SessionMovements[[#This Row],[MovementID]], MovementLibrary[MovementID], MovementLibrary[Modality], "")
)</f>
        <v>Barbell</v>
      </c>
      <c r="E933" s="5" t="str">
        <f>IF(SessionMovements[[#This Row],[MovementID]]="","",
   _xlfn.XLOOKUP(SessionMovements[[#This Row],[MovementID]], MovementLibrary[MovementID], MovementLibrary[Unit], "")
)</f>
        <v>kg</v>
      </c>
      <c r="F9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3">
        <v>1</v>
      </c>
      <c r="H933" t="s">
        <v>1249</v>
      </c>
      <c r="J933">
        <v>75</v>
      </c>
      <c r="L933" s="5" t="str">
        <f>IF(COUNTIF(Sessions[SessionID],SessionMovements[[#This Row],[SessionID]])=0,"❌ Missing","✔ OK")</f>
        <v>✔ OK</v>
      </c>
    </row>
    <row r="934" spans="1:12" x14ac:dyDescent="0.3">
      <c r="A934" t="s">
        <v>1266</v>
      </c>
      <c r="B934" t="s">
        <v>261</v>
      </c>
      <c r="C934" t="str">
        <f>IF(SessionMovements[[#This Row],[MovementID]]="","",
   _xlfn.XLOOKUP(SessionMovements[[#This Row],[MovementID]],MovementLibrary[MovementID],MovementLibrary[Name],"")
)</f>
        <v>Clean &amp; Jerk</v>
      </c>
      <c r="D934" s="5" t="str">
        <f>IF(SessionMovements[[#This Row],[MovementID]]="","",
   _xlfn.XLOOKUP(SessionMovements[[#This Row],[MovementID]], MovementLibrary[MovementID], MovementLibrary[Modality], "")
)</f>
        <v>Barbell</v>
      </c>
      <c r="E934" s="5" t="str">
        <f>IF(SessionMovements[[#This Row],[MovementID]]="","",
   _xlfn.XLOOKUP(SessionMovements[[#This Row],[MovementID]], MovementLibrary[MovementID], MovementLibrary[Unit], "")
)</f>
        <v>kg</v>
      </c>
      <c r="F9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4">
        <v>2</v>
      </c>
      <c r="H934" t="s">
        <v>1249</v>
      </c>
      <c r="J934">
        <v>80</v>
      </c>
      <c r="L934" s="5" t="str">
        <f>IF(COUNTIF(Sessions[SessionID],SessionMovements[[#This Row],[SessionID]])=0,"❌ Missing","✔ OK")</f>
        <v>✔ OK</v>
      </c>
    </row>
    <row r="935" spans="1:12" x14ac:dyDescent="0.3">
      <c r="A935" t="s">
        <v>1266</v>
      </c>
      <c r="B935" t="s">
        <v>537</v>
      </c>
      <c r="C935" t="str">
        <f>IF(SessionMovements[[#This Row],[MovementID]]="","",
   _xlfn.XLOOKUP(SessionMovements[[#This Row],[MovementID]],MovementLibrary[MovementID],MovementLibrary[Name],"")
)</f>
        <v>Clean Pull</v>
      </c>
      <c r="D935" s="5" t="str">
        <f>IF(SessionMovements[[#This Row],[MovementID]]="","",
   _xlfn.XLOOKUP(SessionMovements[[#This Row],[MovementID]], MovementLibrary[MovementID], MovementLibrary[Modality], "")
)</f>
        <v>Barbell</v>
      </c>
      <c r="E935" s="5" t="str">
        <f>IF(SessionMovements[[#This Row],[MovementID]]="","",
   _xlfn.XLOOKUP(SessionMovements[[#This Row],[MovementID]], MovementLibrary[MovementID], MovementLibrary[Unit], "")
)</f>
        <v>kg</v>
      </c>
      <c r="F9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5">
        <v>2</v>
      </c>
      <c r="H935">
        <v>2</v>
      </c>
      <c r="J935">
        <v>85</v>
      </c>
      <c r="L935" s="5" t="str">
        <f>IF(COUNTIF(Sessions[SessionID],SessionMovements[[#This Row],[SessionID]])=0,"❌ Missing","✔ OK")</f>
        <v>✔ OK</v>
      </c>
    </row>
    <row r="936" spans="1:12" x14ac:dyDescent="0.3">
      <c r="A936" t="s">
        <v>1266</v>
      </c>
      <c r="B936" t="s">
        <v>537</v>
      </c>
      <c r="C936" t="str">
        <f>IF(SessionMovements[[#This Row],[MovementID]]="","",
   _xlfn.XLOOKUP(SessionMovements[[#This Row],[MovementID]],MovementLibrary[MovementID],MovementLibrary[Name],"")
)</f>
        <v>Clean Pull</v>
      </c>
      <c r="D936" s="5" t="str">
        <f>IF(SessionMovements[[#This Row],[MovementID]]="","",
   _xlfn.XLOOKUP(SessionMovements[[#This Row],[MovementID]], MovementLibrary[MovementID], MovementLibrary[Modality], "")
)</f>
        <v>Barbell</v>
      </c>
      <c r="E936" s="5" t="str">
        <f>IF(SessionMovements[[#This Row],[MovementID]]="","",
   _xlfn.XLOOKUP(SessionMovements[[#This Row],[MovementID]], MovementLibrary[MovementID], MovementLibrary[Unit], "")
)</f>
        <v>kg</v>
      </c>
      <c r="F9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6">
        <v>2</v>
      </c>
      <c r="H936">
        <v>2</v>
      </c>
      <c r="J936">
        <v>90</v>
      </c>
      <c r="L936" s="5" t="str">
        <f>IF(COUNTIF(Sessions[SessionID],SessionMovements[[#This Row],[SessionID]])=0,"❌ Missing","✔ OK")</f>
        <v>✔ OK</v>
      </c>
    </row>
    <row r="937" spans="1:12" x14ac:dyDescent="0.3">
      <c r="A937" t="s">
        <v>1266</v>
      </c>
      <c r="B937" t="s">
        <v>537</v>
      </c>
      <c r="C937" t="str">
        <f>IF(SessionMovements[[#This Row],[MovementID]]="","",
   _xlfn.XLOOKUP(SessionMovements[[#This Row],[MovementID]],MovementLibrary[MovementID],MovementLibrary[Name],"")
)</f>
        <v>Clean Pull</v>
      </c>
      <c r="D937" s="5" t="str">
        <f>IF(SessionMovements[[#This Row],[MovementID]]="","",
   _xlfn.XLOOKUP(SessionMovements[[#This Row],[MovementID]], MovementLibrary[MovementID], MovementLibrary[Modality], "")
)</f>
        <v>Barbell</v>
      </c>
      <c r="E937" s="5" t="str">
        <f>IF(SessionMovements[[#This Row],[MovementID]]="","",
   _xlfn.XLOOKUP(SessionMovements[[#This Row],[MovementID]], MovementLibrary[MovementID], MovementLibrary[Unit], "")
)</f>
        <v>kg</v>
      </c>
      <c r="F9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7">
        <v>2</v>
      </c>
      <c r="H937">
        <v>2</v>
      </c>
      <c r="J937">
        <v>95</v>
      </c>
      <c r="L937" s="5" t="str">
        <f>IF(COUNTIF(Sessions[SessionID],SessionMovements[[#This Row],[SessionID]])=0,"❌ Missing","✔ OK")</f>
        <v>✔ OK</v>
      </c>
    </row>
    <row r="938" spans="1:12" x14ac:dyDescent="0.3">
      <c r="A938" t="s">
        <v>1266</v>
      </c>
      <c r="B938" t="s">
        <v>434</v>
      </c>
      <c r="C938" t="str">
        <f>IF(SessionMovements[[#This Row],[MovementID]]="","",
   _xlfn.XLOOKUP(SessionMovements[[#This Row],[MovementID]],MovementLibrary[MovementID],MovementLibrary[Name],"")
)</f>
        <v>Back Extension</v>
      </c>
      <c r="D938" s="5" t="str">
        <f>IF(SessionMovements[[#This Row],[MovementID]]="","",
   _xlfn.XLOOKUP(SessionMovements[[#This Row],[MovementID]], MovementLibrary[MovementID], MovementLibrary[Modality], "")
)</f>
        <v>Gymnastics</v>
      </c>
      <c r="E938" s="5" t="str">
        <f>IF(SessionMovements[[#This Row],[MovementID]]="","",
   _xlfn.XLOOKUP(SessionMovements[[#This Row],[MovementID]], MovementLibrary[MovementID], MovementLibrary[Unit], "")
)</f>
        <v>reps</v>
      </c>
      <c r="F9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8">
        <v>3</v>
      </c>
      <c r="H938">
        <v>20</v>
      </c>
      <c r="L938" s="5" t="str">
        <f>IF(COUNTIF(Sessions[SessionID],SessionMovements[[#This Row],[SessionID]])=0,"❌ Missing","✔ OK")</f>
        <v>✔ OK</v>
      </c>
    </row>
    <row r="939" spans="1:12" x14ac:dyDescent="0.3">
      <c r="A939" t="s">
        <v>1267</v>
      </c>
      <c r="B939" t="s">
        <v>275</v>
      </c>
      <c r="C939" t="str">
        <f>IF(SessionMovements[[#This Row],[MovementID]]="","",
   _xlfn.XLOOKUP(SessionMovements[[#This Row],[MovementID]],MovementLibrary[MovementID],MovementLibrary[Name],"")
)</f>
        <v>Power Snatch</v>
      </c>
      <c r="D939" s="5" t="str">
        <f>IF(SessionMovements[[#This Row],[MovementID]]="","",
   _xlfn.XLOOKUP(SessionMovements[[#This Row],[MovementID]], MovementLibrary[MovementID], MovementLibrary[Modality], "")
)</f>
        <v>Barbell</v>
      </c>
      <c r="E939" s="5" t="str">
        <f>IF(SessionMovements[[#This Row],[MovementID]]="","",
   _xlfn.XLOOKUP(SessionMovements[[#This Row],[MovementID]], MovementLibrary[MovementID], MovementLibrary[Unit], "")
)</f>
        <v>kg</v>
      </c>
      <c r="F9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39">
        <v>3</v>
      </c>
      <c r="H939">
        <v>1</v>
      </c>
      <c r="J939">
        <v>70</v>
      </c>
      <c r="L939" s="5" t="str">
        <f>IF(COUNTIF(Sessions[SessionID],SessionMovements[[#This Row],[SessionID]])=0,"❌ Missing","✔ OK")</f>
        <v>✔ OK</v>
      </c>
    </row>
    <row r="940" spans="1:12" x14ac:dyDescent="0.3">
      <c r="A940" t="s">
        <v>1267</v>
      </c>
      <c r="B940" t="s">
        <v>275</v>
      </c>
      <c r="C940" t="str">
        <f>IF(SessionMovements[[#This Row],[MovementID]]="","",
   _xlfn.XLOOKUP(SessionMovements[[#This Row],[MovementID]],MovementLibrary[MovementID],MovementLibrary[Name],"")
)</f>
        <v>Power Snatch</v>
      </c>
      <c r="D940" s="5" t="str">
        <f>IF(SessionMovements[[#This Row],[MovementID]]="","",
   _xlfn.XLOOKUP(SessionMovements[[#This Row],[MovementID]], MovementLibrary[MovementID], MovementLibrary[Modality], "")
)</f>
        <v>Barbell</v>
      </c>
      <c r="E940" s="5" t="str">
        <f>IF(SessionMovements[[#This Row],[MovementID]]="","",
   _xlfn.XLOOKUP(SessionMovements[[#This Row],[MovementID]], MovementLibrary[MovementID], MovementLibrary[Unit], "")
)</f>
        <v>kg</v>
      </c>
      <c r="F9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0">
        <v>3</v>
      </c>
      <c r="H940">
        <v>1</v>
      </c>
      <c r="J940">
        <v>75</v>
      </c>
      <c r="L940" s="5" t="str">
        <f>IF(COUNTIF(Sessions[SessionID],SessionMovements[[#This Row],[SessionID]])=0,"❌ Missing","✔ OK")</f>
        <v>✔ OK</v>
      </c>
    </row>
    <row r="941" spans="1:12" x14ac:dyDescent="0.3">
      <c r="A941" t="s">
        <v>1267</v>
      </c>
      <c r="B941" t="s">
        <v>797</v>
      </c>
      <c r="C941" t="str">
        <f>IF(SessionMovements[[#This Row],[MovementID]]="","",
   _xlfn.XLOOKUP(SessionMovements[[#This Row],[MovementID]],MovementLibrary[MovementID],MovementLibrary[Name],"")
)</f>
        <v>Power Clean + Power Jerk</v>
      </c>
      <c r="D941" s="5" t="str">
        <f>IF(SessionMovements[[#This Row],[MovementID]]="","",
   _xlfn.XLOOKUP(SessionMovements[[#This Row],[MovementID]], MovementLibrary[MovementID], MovementLibrary[Modality], "")
)</f>
        <v>Barbell</v>
      </c>
      <c r="E941" s="5" t="str">
        <f>IF(SessionMovements[[#This Row],[MovementID]]="","",
   _xlfn.XLOOKUP(SessionMovements[[#This Row],[MovementID]], MovementLibrary[MovementID], MovementLibrary[Unit], "")
)</f>
        <v>kg</v>
      </c>
      <c r="F9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1">
        <v>3</v>
      </c>
      <c r="H941" t="s">
        <v>1249</v>
      </c>
      <c r="J941">
        <v>70</v>
      </c>
      <c r="L941" s="5" t="str">
        <f>IF(COUNTIF(Sessions[SessionID],SessionMovements[[#This Row],[SessionID]])=0,"❌ Missing","✔ OK")</f>
        <v>✔ OK</v>
      </c>
    </row>
    <row r="942" spans="1:12" x14ac:dyDescent="0.3">
      <c r="A942" t="s">
        <v>1267</v>
      </c>
      <c r="B942" t="s">
        <v>797</v>
      </c>
      <c r="C942" t="str">
        <f>IF(SessionMovements[[#This Row],[MovementID]]="","",
   _xlfn.XLOOKUP(SessionMovements[[#This Row],[MovementID]],MovementLibrary[MovementID],MovementLibrary[Name],"")
)</f>
        <v>Power Clean + Power Jerk</v>
      </c>
      <c r="D942" s="5" t="str">
        <f>IF(SessionMovements[[#This Row],[MovementID]]="","",
   _xlfn.XLOOKUP(SessionMovements[[#This Row],[MovementID]], MovementLibrary[MovementID], MovementLibrary[Modality], "")
)</f>
        <v>Barbell</v>
      </c>
      <c r="E942" s="5" t="str">
        <f>IF(SessionMovements[[#This Row],[MovementID]]="","",
   _xlfn.XLOOKUP(SessionMovements[[#This Row],[MovementID]], MovementLibrary[MovementID], MovementLibrary[Unit], "")
)</f>
        <v>kg</v>
      </c>
      <c r="F9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2">
        <v>3</v>
      </c>
      <c r="H942" t="s">
        <v>1249</v>
      </c>
      <c r="J942">
        <v>75</v>
      </c>
      <c r="L942" s="5" t="str">
        <f>IF(COUNTIF(Sessions[SessionID],SessionMovements[[#This Row],[SessionID]])=0,"❌ Missing","✔ OK")</f>
        <v>✔ OK</v>
      </c>
    </row>
    <row r="943" spans="1:12" x14ac:dyDescent="0.3">
      <c r="A943" t="s">
        <v>1267</v>
      </c>
      <c r="B943" t="s">
        <v>434</v>
      </c>
      <c r="C943" t="str">
        <f>IF(SessionMovements[[#This Row],[MovementID]]="","",
   _xlfn.XLOOKUP(SessionMovements[[#This Row],[MovementID]],MovementLibrary[MovementID],MovementLibrary[Name],"")
)</f>
        <v>Back Extension</v>
      </c>
      <c r="D943" s="5" t="str">
        <f>IF(SessionMovements[[#This Row],[MovementID]]="","",
   _xlfn.XLOOKUP(SessionMovements[[#This Row],[MovementID]], MovementLibrary[MovementID], MovementLibrary[Modality], "")
)</f>
        <v>Gymnastics</v>
      </c>
      <c r="E943" s="5" t="str">
        <f>IF(SessionMovements[[#This Row],[MovementID]]="","",
   _xlfn.XLOOKUP(SessionMovements[[#This Row],[MovementID]], MovementLibrary[MovementID], MovementLibrary[Unit], "")
)</f>
        <v>reps</v>
      </c>
      <c r="F9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3">
        <v>3</v>
      </c>
      <c r="H943">
        <v>20</v>
      </c>
      <c r="L943" s="5" t="str">
        <f>IF(COUNTIF(Sessions[SessionID],SessionMovements[[#This Row],[SessionID]])=0,"❌ Missing","✔ OK")</f>
        <v>✔ OK</v>
      </c>
    </row>
    <row r="944" spans="1:12" x14ac:dyDescent="0.3">
      <c r="A944" t="s">
        <v>1268</v>
      </c>
      <c r="B944" t="s">
        <v>260</v>
      </c>
      <c r="C944" t="str">
        <f>IF(SessionMovements[[#This Row],[MovementID]]="","",
   _xlfn.XLOOKUP(SessionMovements[[#This Row],[MovementID]],MovementLibrary[MovementID],MovementLibrary[Name],"")
)</f>
        <v>Snatch</v>
      </c>
      <c r="D944" s="5" t="str">
        <f>IF(SessionMovements[[#This Row],[MovementID]]="","",
   _xlfn.XLOOKUP(SessionMovements[[#This Row],[MovementID]], MovementLibrary[MovementID], MovementLibrary[Modality], "")
)</f>
        <v>Barbell</v>
      </c>
      <c r="E944" s="5" t="str">
        <f>IF(SessionMovements[[#This Row],[MovementID]]="","",
   _xlfn.XLOOKUP(SessionMovements[[#This Row],[MovementID]], MovementLibrary[MovementID], MovementLibrary[Unit], "")
)</f>
        <v>kg</v>
      </c>
      <c r="F9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4">
        <v>2</v>
      </c>
      <c r="H944">
        <v>2</v>
      </c>
      <c r="J944">
        <v>70</v>
      </c>
      <c r="L944" s="5" t="str">
        <f>IF(COUNTIF(Sessions[SessionID],SessionMovements[[#This Row],[SessionID]])=0,"❌ Missing","✔ OK")</f>
        <v>✔ OK</v>
      </c>
    </row>
    <row r="945" spans="1:12" x14ac:dyDescent="0.3">
      <c r="A945" t="s">
        <v>1268</v>
      </c>
      <c r="B945" t="s">
        <v>260</v>
      </c>
      <c r="C945" t="str">
        <f>IF(SessionMovements[[#This Row],[MovementID]]="","",
   _xlfn.XLOOKUP(SessionMovements[[#This Row],[MovementID]],MovementLibrary[MovementID],MovementLibrary[Name],"")
)</f>
        <v>Snatch</v>
      </c>
      <c r="D945" s="5" t="str">
        <f>IF(SessionMovements[[#This Row],[MovementID]]="","",
   _xlfn.XLOOKUP(SessionMovements[[#This Row],[MovementID]], MovementLibrary[MovementID], MovementLibrary[Modality], "")
)</f>
        <v>Barbell</v>
      </c>
      <c r="E945" s="5" t="str">
        <f>IF(SessionMovements[[#This Row],[MovementID]]="","",
   _xlfn.XLOOKUP(SessionMovements[[#This Row],[MovementID]], MovementLibrary[MovementID], MovementLibrary[Unit], "")
)</f>
        <v>kg</v>
      </c>
      <c r="F9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5">
        <v>2</v>
      </c>
      <c r="H945">
        <v>2</v>
      </c>
      <c r="J945">
        <v>75</v>
      </c>
      <c r="L945" s="5" t="str">
        <f>IF(COUNTIF(Sessions[SessionID],SessionMovements[[#This Row],[SessionID]])=0,"❌ Missing","✔ OK")</f>
        <v>✔ OK</v>
      </c>
    </row>
    <row r="946" spans="1:12" x14ac:dyDescent="0.3">
      <c r="A946" t="s">
        <v>1268</v>
      </c>
      <c r="B946" t="s">
        <v>260</v>
      </c>
      <c r="C946" t="str">
        <f>IF(SessionMovements[[#This Row],[MovementID]]="","",
   _xlfn.XLOOKUP(SessionMovements[[#This Row],[MovementID]],MovementLibrary[MovementID],MovementLibrary[Name],"")
)</f>
        <v>Snatch</v>
      </c>
      <c r="D946" s="5" t="str">
        <f>IF(SessionMovements[[#This Row],[MovementID]]="","",
   _xlfn.XLOOKUP(SessionMovements[[#This Row],[MovementID]], MovementLibrary[MovementID], MovementLibrary[Modality], "")
)</f>
        <v>Barbell</v>
      </c>
      <c r="E946" s="5" t="str">
        <f>IF(SessionMovements[[#This Row],[MovementID]]="","",
   _xlfn.XLOOKUP(SessionMovements[[#This Row],[MovementID]], MovementLibrary[MovementID], MovementLibrary[Unit], "")
)</f>
        <v>kg</v>
      </c>
      <c r="F9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6">
        <v>3</v>
      </c>
      <c r="H946">
        <v>1</v>
      </c>
      <c r="J946">
        <v>80</v>
      </c>
      <c r="L946" s="5" t="str">
        <f>IF(COUNTIF(Sessions[SessionID],SessionMovements[[#This Row],[SessionID]])=0,"❌ Missing","✔ OK")</f>
        <v>✔ OK</v>
      </c>
    </row>
    <row r="947" spans="1:12" x14ac:dyDescent="0.3">
      <c r="A947" t="s">
        <v>1268</v>
      </c>
      <c r="B947" t="s">
        <v>261</v>
      </c>
      <c r="C947" t="str">
        <f>IF(SessionMovements[[#This Row],[MovementID]]="","",
   _xlfn.XLOOKUP(SessionMovements[[#This Row],[MovementID]],MovementLibrary[MovementID],MovementLibrary[Name],"")
)</f>
        <v>Clean &amp; Jerk</v>
      </c>
      <c r="D947" s="5" t="str">
        <f>IF(SessionMovements[[#This Row],[MovementID]]="","",
   _xlfn.XLOOKUP(SessionMovements[[#This Row],[MovementID]], MovementLibrary[MovementID], MovementLibrary[Modality], "")
)</f>
        <v>Barbell</v>
      </c>
      <c r="E947" s="5" t="str">
        <f>IF(SessionMovements[[#This Row],[MovementID]]="","",
   _xlfn.XLOOKUP(SessionMovements[[#This Row],[MovementID]], MovementLibrary[MovementID], MovementLibrary[Unit], "")
)</f>
        <v>kg</v>
      </c>
      <c r="F9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7">
        <v>1</v>
      </c>
      <c r="H947" t="s">
        <v>1249</v>
      </c>
      <c r="J947">
        <v>70</v>
      </c>
      <c r="L947" s="5" t="str">
        <f>IF(COUNTIF(Sessions[SessionID],SessionMovements[[#This Row],[SessionID]])=0,"❌ Missing","✔ OK")</f>
        <v>✔ OK</v>
      </c>
    </row>
    <row r="948" spans="1:12" x14ac:dyDescent="0.3">
      <c r="A948" t="s">
        <v>1268</v>
      </c>
      <c r="B948" t="s">
        <v>261</v>
      </c>
      <c r="C948" t="str">
        <f>IF(SessionMovements[[#This Row],[MovementID]]="","",
   _xlfn.XLOOKUP(SessionMovements[[#This Row],[MovementID]],MovementLibrary[MovementID],MovementLibrary[Name],"")
)</f>
        <v>Clean &amp; Jerk</v>
      </c>
      <c r="D948" s="5" t="str">
        <f>IF(SessionMovements[[#This Row],[MovementID]]="","",
   _xlfn.XLOOKUP(SessionMovements[[#This Row],[MovementID]], MovementLibrary[MovementID], MovementLibrary[Modality], "")
)</f>
        <v>Barbell</v>
      </c>
      <c r="E948" s="5" t="str">
        <f>IF(SessionMovements[[#This Row],[MovementID]]="","",
   _xlfn.XLOOKUP(SessionMovements[[#This Row],[MovementID]], MovementLibrary[MovementID], MovementLibrary[Unit], "")
)</f>
        <v>kg</v>
      </c>
      <c r="F9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8">
        <v>1</v>
      </c>
      <c r="H948" t="s">
        <v>1249</v>
      </c>
      <c r="J948">
        <v>75</v>
      </c>
      <c r="L948" s="5" t="str">
        <f>IF(COUNTIF(Sessions[SessionID],SessionMovements[[#This Row],[SessionID]])=0,"❌ Missing","✔ OK")</f>
        <v>✔ OK</v>
      </c>
    </row>
    <row r="949" spans="1:12" x14ac:dyDescent="0.3">
      <c r="A949" t="s">
        <v>1268</v>
      </c>
      <c r="B949" t="s">
        <v>261</v>
      </c>
      <c r="C949" t="str">
        <f>IF(SessionMovements[[#This Row],[MovementID]]="","",
   _xlfn.XLOOKUP(SessionMovements[[#This Row],[MovementID]],MovementLibrary[MovementID],MovementLibrary[Name],"")
)</f>
        <v>Clean &amp; Jerk</v>
      </c>
      <c r="D949" s="5" t="str">
        <f>IF(SessionMovements[[#This Row],[MovementID]]="","",
   _xlfn.XLOOKUP(SessionMovements[[#This Row],[MovementID]], MovementLibrary[MovementID], MovementLibrary[Modality], "")
)</f>
        <v>Barbell</v>
      </c>
      <c r="E949" s="5" t="str">
        <f>IF(SessionMovements[[#This Row],[MovementID]]="","",
   _xlfn.XLOOKUP(SessionMovements[[#This Row],[MovementID]], MovementLibrary[MovementID], MovementLibrary[Unit], "")
)</f>
        <v>kg</v>
      </c>
      <c r="F9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49">
        <v>3</v>
      </c>
      <c r="H949" t="s">
        <v>1249</v>
      </c>
      <c r="J949">
        <v>80</v>
      </c>
      <c r="L949" s="5" t="str">
        <f>IF(COUNTIF(Sessions[SessionID],SessionMovements[[#This Row],[SessionID]])=0,"❌ Missing","✔ OK")</f>
        <v>✔ OK</v>
      </c>
    </row>
    <row r="950" spans="1:12" x14ac:dyDescent="0.3">
      <c r="A950" t="s">
        <v>1268</v>
      </c>
      <c r="B950" t="s">
        <v>534</v>
      </c>
      <c r="C950" t="str">
        <f>IF(SessionMovements[[#This Row],[MovementID]]="","",
   _xlfn.XLOOKUP(SessionMovements[[#This Row],[MovementID]],MovementLibrary[MovementID],MovementLibrary[Name],"")
)</f>
        <v>Snatch Pull</v>
      </c>
      <c r="D950" s="5" t="str">
        <f>IF(SessionMovements[[#This Row],[MovementID]]="","",
   _xlfn.XLOOKUP(SessionMovements[[#This Row],[MovementID]], MovementLibrary[MovementID], MovementLibrary[Modality], "")
)</f>
        <v>Barbell</v>
      </c>
      <c r="E950" s="5" t="str">
        <f>IF(SessionMovements[[#This Row],[MovementID]]="","",
   _xlfn.XLOOKUP(SessionMovements[[#This Row],[MovementID]], MovementLibrary[MovementID], MovementLibrary[Unit], "")
)</f>
        <v>kg</v>
      </c>
      <c r="F9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0">
        <v>2</v>
      </c>
      <c r="H950">
        <v>2</v>
      </c>
      <c r="J950">
        <v>85</v>
      </c>
      <c r="L950" s="5" t="str">
        <f>IF(COUNTIF(Sessions[SessionID],SessionMovements[[#This Row],[SessionID]])=0,"❌ Missing","✔ OK")</f>
        <v>✔ OK</v>
      </c>
    </row>
    <row r="951" spans="1:12" x14ac:dyDescent="0.3">
      <c r="A951" t="s">
        <v>1268</v>
      </c>
      <c r="B951" t="s">
        <v>534</v>
      </c>
      <c r="C951" t="str">
        <f>IF(SessionMovements[[#This Row],[MovementID]]="","",
   _xlfn.XLOOKUP(SessionMovements[[#This Row],[MovementID]],MovementLibrary[MovementID],MovementLibrary[Name],"")
)</f>
        <v>Snatch Pull</v>
      </c>
      <c r="D951" s="5" t="str">
        <f>IF(SessionMovements[[#This Row],[MovementID]]="","",
   _xlfn.XLOOKUP(SessionMovements[[#This Row],[MovementID]], MovementLibrary[MovementID], MovementLibrary[Modality], "")
)</f>
        <v>Barbell</v>
      </c>
      <c r="E951" s="5" t="str">
        <f>IF(SessionMovements[[#This Row],[MovementID]]="","",
   _xlfn.XLOOKUP(SessionMovements[[#This Row],[MovementID]], MovementLibrary[MovementID], MovementLibrary[Unit], "")
)</f>
        <v>kg</v>
      </c>
      <c r="F9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1">
        <v>2</v>
      </c>
      <c r="H951">
        <v>2</v>
      </c>
      <c r="J951">
        <v>90</v>
      </c>
      <c r="L951" s="5" t="str">
        <f>IF(COUNTIF(Sessions[SessionID],SessionMovements[[#This Row],[SessionID]])=0,"❌ Missing","✔ OK")</f>
        <v>✔ OK</v>
      </c>
    </row>
    <row r="952" spans="1:12" x14ac:dyDescent="0.3">
      <c r="A952" t="s">
        <v>1268</v>
      </c>
      <c r="B952" t="s">
        <v>534</v>
      </c>
      <c r="C952" t="str">
        <f>IF(SessionMovements[[#This Row],[MovementID]]="","",
   _xlfn.XLOOKUP(SessionMovements[[#This Row],[MovementID]],MovementLibrary[MovementID],MovementLibrary[Name],"")
)</f>
        <v>Snatch Pull</v>
      </c>
      <c r="D952" s="5" t="str">
        <f>IF(SessionMovements[[#This Row],[MovementID]]="","",
   _xlfn.XLOOKUP(SessionMovements[[#This Row],[MovementID]], MovementLibrary[MovementID], MovementLibrary[Modality], "")
)</f>
        <v>Barbell</v>
      </c>
      <c r="E952" s="5" t="str">
        <f>IF(SessionMovements[[#This Row],[MovementID]]="","",
   _xlfn.XLOOKUP(SessionMovements[[#This Row],[MovementID]], MovementLibrary[MovementID], MovementLibrary[Unit], "")
)</f>
        <v>kg</v>
      </c>
      <c r="F9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2">
        <v>2</v>
      </c>
      <c r="H952">
        <v>2</v>
      </c>
      <c r="J952">
        <v>95</v>
      </c>
      <c r="L952" s="5" t="str">
        <f>IF(COUNTIF(Sessions[SessionID],SessionMovements[[#This Row],[SessionID]])=0,"❌ Missing","✔ OK")</f>
        <v>✔ OK</v>
      </c>
    </row>
    <row r="953" spans="1:12" x14ac:dyDescent="0.3">
      <c r="A953" t="s">
        <v>1268</v>
      </c>
      <c r="B953" t="s">
        <v>434</v>
      </c>
      <c r="C953" t="str">
        <f>IF(SessionMovements[[#This Row],[MovementID]]="","",
   _xlfn.XLOOKUP(SessionMovements[[#This Row],[MovementID]],MovementLibrary[MovementID],MovementLibrary[Name],"")
)</f>
        <v>Back Extension</v>
      </c>
      <c r="D953" s="5" t="str">
        <f>IF(SessionMovements[[#This Row],[MovementID]]="","",
   _xlfn.XLOOKUP(SessionMovements[[#This Row],[MovementID]], MovementLibrary[MovementID], MovementLibrary[Modality], "")
)</f>
        <v>Gymnastics</v>
      </c>
      <c r="E953" s="5" t="str">
        <f>IF(SessionMovements[[#This Row],[MovementID]]="","",
   _xlfn.XLOOKUP(SessionMovements[[#This Row],[MovementID]], MovementLibrary[MovementID], MovementLibrary[Unit], "")
)</f>
        <v>reps</v>
      </c>
      <c r="F9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3">
        <v>3</v>
      </c>
      <c r="H953">
        <v>20</v>
      </c>
      <c r="L953" s="5" t="str">
        <f>IF(COUNTIF(Sessions[SessionID],SessionMovements[[#This Row],[SessionID]])=0,"❌ Missing","✔ OK")</f>
        <v>✔ OK</v>
      </c>
    </row>
    <row r="954" spans="1:12" x14ac:dyDescent="0.3">
      <c r="A954" t="s">
        <v>1269</v>
      </c>
      <c r="B954" t="s">
        <v>275</v>
      </c>
      <c r="C954" t="str">
        <f>IF(SessionMovements[[#This Row],[MovementID]]="","",
   _xlfn.XLOOKUP(SessionMovements[[#This Row],[MovementID]],MovementLibrary[MovementID],MovementLibrary[Name],"")
)</f>
        <v>Power Snatch</v>
      </c>
      <c r="D954" s="5" t="str">
        <f>IF(SessionMovements[[#This Row],[MovementID]]="","",
   _xlfn.XLOOKUP(SessionMovements[[#This Row],[MovementID]], MovementLibrary[MovementID], MovementLibrary[Modality], "")
)</f>
        <v>Barbell</v>
      </c>
      <c r="E954" s="5" t="str">
        <f>IF(SessionMovements[[#This Row],[MovementID]]="","",
   _xlfn.XLOOKUP(SessionMovements[[#This Row],[MovementID]], MovementLibrary[MovementID], MovementLibrary[Unit], "")
)</f>
        <v>kg</v>
      </c>
      <c r="F9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4">
        <v>3</v>
      </c>
      <c r="H954">
        <v>1</v>
      </c>
      <c r="J954">
        <v>70</v>
      </c>
      <c r="L954" s="5" t="str">
        <f>IF(COUNTIF(Sessions[SessionID],SessionMovements[[#This Row],[SessionID]])=0,"❌ Missing","✔ OK")</f>
        <v>✔ OK</v>
      </c>
    </row>
    <row r="955" spans="1:12" x14ac:dyDescent="0.3">
      <c r="A955" t="s">
        <v>1269</v>
      </c>
      <c r="B955" t="s">
        <v>275</v>
      </c>
      <c r="C955" t="str">
        <f>IF(SessionMovements[[#This Row],[MovementID]]="","",
   _xlfn.XLOOKUP(SessionMovements[[#This Row],[MovementID]],MovementLibrary[MovementID],MovementLibrary[Name],"")
)</f>
        <v>Power Snatch</v>
      </c>
      <c r="D955" s="5" t="str">
        <f>IF(SessionMovements[[#This Row],[MovementID]]="","",
   _xlfn.XLOOKUP(SessionMovements[[#This Row],[MovementID]], MovementLibrary[MovementID], MovementLibrary[Modality], "")
)</f>
        <v>Barbell</v>
      </c>
      <c r="E955" s="5" t="str">
        <f>IF(SessionMovements[[#This Row],[MovementID]]="","",
   _xlfn.XLOOKUP(SessionMovements[[#This Row],[MovementID]], MovementLibrary[MovementID], MovementLibrary[Unit], "")
)</f>
        <v>kg</v>
      </c>
      <c r="F9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5">
        <v>3</v>
      </c>
      <c r="H955">
        <v>1</v>
      </c>
      <c r="J955">
        <v>75</v>
      </c>
      <c r="L955" s="5" t="str">
        <f>IF(COUNTIF(Sessions[SessionID],SessionMovements[[#This Row],[SessionID]])=0,"❌ Missing","✔ OK")</f>
        <v>✔ OK</v>
      </c>
    </row>
    <row r="956" spans="1:12" x14ac:dyDescent="0.3">
      <c r="A956" t="s">
        <v>1269</v>
      </c>
      <c r="B956" t="s">
        <v>797</v>
      </c>
      <c r="C956" t="str">
        <f>IF(SessionMovements[[#This Row],[MovementID]]="","",
   _xlfn.XLOOKUP(SessionMovements[[#This Row],[MovementID]],MovementLibrary[MovementID],MovementLibrary[Name],"")
)</f>
        <v>Power Clean + Power Jerk</v>
      </c>
      <c r="D956" s="5" t="str">
        <f>IF(SessionMovements[[#This Row],[MovementID]]="","",
   _xlfn.XLOOKUP(SessionMovements[[#This Row],[MovementID]], MovementLibrary[MovementID], MovementLibrary[Modality], "")
)</f>
        <v>Barbell</v>
      </c>
      <c r="E956" s="5" t="str">
        <f>IF(SessionMovements[[#This Row],[MovementID]]="","",
   _xlfn.XLOOKUP(SessionMovements[[#This Row],[MovementID]], MovementLibrary[MovementID], MovementLibrary[Unit], "")
)</f>
        <v>kg</v>
      </c>
      <c r="F9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6">
        <v>3</v>
      </c>
      <c r="H956" t="s">
        <v>1249</v>
      </c>
      <c r="J956">
        <v>70</v>
      </c>
      <c r="L956" s="5" t="str">
        <f>IF(COUNTIF(Sessions[SessionID],SessionMovements[[#This Row],[SessionID]])=0,"❌ Missing","✔ OK")</f>
        <v>✔ OK</v>
      </c>
    </row>
    <row r="957" spans="1:12" x14ac:dyDescent="0.3">
      <c r="A957" t="s">
        <v>1269</v>
      </c>
      <c r="B957" t="s">
        <v>797</v>
      </c>
      <c r="C957" t="str">
        <f>IF(SessionMovements[[#This Row],[MovementID]]="","",
   _xlfn.XLOOKUP(SessionMovements[[#This Row],[MovementID]],MovementLibrary[MovementID],MovementLibrary[Name],"")
)</f>
        <v>Power Clean + Power Jerk</v>
      </c>
      <c r="D957" s="5" t="str">
        <f>IF(SessionMovements[[#This Row],[MovementID]]="","",
   _xlfn.XLOOKUP(SessionMovements[[#This Row],[MovementID]], MovementLibrary[MovementID], MovementLibrary[Modality], "")
)</f>
        <v>Barbell</v>
      </c>
      <c r="E957" s="5" t="str">
        <f>IF(SessionMovements[[#This Row],[MovementID]]="","",
   _xlfn.XLOOKUP(SessionMovements[[#This Row],[MovementID]], MovementLibrary[MovementID], MovementLibrary[Unit], "")
)</f>
        <v>kg</v>
      </c>
      <c r="F9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7">
        <v>3</v>
      </c>
      <c r="H957" t="s">
        <v>1249</v>
      </c>
      <c r="J957">
        <v>75</v>
      </c>
      <c r="L957" s="5" t="str">
        <f>IF(COUNTIF(Sessions[SessionID],SessionMovements[[#This Row],[SessionID]])=0,"❌ Missing","✔ OK")</f>
        <v>✔ OK</v>
      </c>
    </row>
    <row r="958" spans="1:12" x14ac:dyDescent="0.3">
      <c r="A958" t="s">
        <v>1269</v>
      </c>
      <c r="B958" t="s">
        <v>434</v>
      </c>
      <c r="C958" t="str">
        <f>IF(SessionMovements[[#This Row],[MovementID]]="","",
   _xlfn.XLOOKUP(SessionMovements[[#This Row],[MovementID]],MovementLibrary[MovementID],MovementLibrary[Name],"")
)</f>
        <v>Back Extension</v>
      </c>
      <c r="D958" s="5" t="str">
        <f>IF(SessionMovements[[#This Row],[MovementID]]="","",
   _xlfn.XLOOKUP(SessionMovements[[#This Row],[MovementID]], MovementLibrary[MovementID], MovementLibrary[Modality], "")
)</f>
        <v>Gymnastics</v>
      </c>
      <c r="E958" s="5" t="str">
        <f>IF(SessionMovements[[#This Row],[MovementID]]="","",
   _xlfn.XLOOKUP(SessionMovements[[#This Row],[MovementID]], MovementLibrary[MovementID], MovementLibrary[Unit], "")
)</f>
        <v>reps</v>
      </c>
      <c r="F9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8">
        <v>3</v>
      </c>
      <c r="H958">
        <v>20</v>
      </c>
      <c r="L958" s="5" t="str">
        <f>IF(COUNTIF(Sessions[SessionID],SessionMovements[[#This Row],[SessionID]])=0,"❌ Missing","✔ OK")</f>
        <v>✔ OK</v>
      </c>
    </row>
    <row r="959" spans="1:12" x14ac:dyDescent="0.3">
      <c r="A959" t="s">
        <v>1270</v>
      </c>
      <c r="B959" t="s">
        <v>296</v>
      </c>
      <c r="C959" t="str">
        <f>IF(SessionMovements[[#This Row],[MovementID]]="","",
   _xlfn.XLOOKUP(SessionMovements[[#This Row],[MovementID]],MovementLibrary[MovementID],MovementLibrary[Name],"")
)</f>
        <v>Front Squat</v>
      </c>
      <c r="D959" s="5" t="str">
        <f>IF(SessionMovements[[#This Row],[MovementID]]="","",
   _xlfn.XLOOKUP(SessionMovements[[#This Row],[MovementID]], MovementLibrary[MovementID], MovementLibrary[Modality], "")
)</f>
        <v>Barbell</v>
      </c>
      <c r="E959" s="5" t="str">
        <f>IF(SessionMovements[[#This Row],[MovementID]]="","",
   _xlfn.XLOOKUP(SessionMovements[[#This Row],[MovementID]], MovementLibrary[MovementID], MovementLibrary[Unit], "")
)</f>
        <v>kg</v>
      </c>
      <c r="F9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59">
        <v>1</v>
      </c>
      <c r="H959">
        <v>1</v>
      </c>
      <c r="K959" t="s">
        <v>1054</v>
      </c>
      <c r="L959" s="5" t="str">
        <f>IF(COUNTIF(Sessions[SessionID],SessionMovements[[#This Row],[SessionID]])=0,"❌ Missing","✔ OK")</f>
        <v>✔ OK</v>
      </c>
    </row>
    <row r="960" spans="1:12" x14ac:dyDescent="0.3">
      <c r="A960" t="s">
        <v>1270</v>
      </c>
      <c r="B960" t="s">
        <v>260</v>
      </c>
      <c r="C960" t="str">
        <f>IF(SessionMovements[[#This Row],[MovementID]]="","",
   _xlfn.XLOOKUP(SessionMovements[[#This Row],[MovementID]],MovementLibrary[MovementID],MovementLibrary[Name],"")
)</f>
        <v>Snatch</v>
      </c>
      <c r="D960" s="5" t="str">
        <f>IF(SessionMovements[[#This Row],[MovementID]]="","",
   _xlfn.XLOOKUP(SessionMovements[[#This Row],[MovementID]], MovementLibrary[MovementID], MovementLibrary[Modality], "")
)</f>
        <v>Barbell</v>
      </c>
      <c r="E960" s="5" t="str">
        <f>IF(SessionMovements[[#This Row],[MovementID]]="","",
   _xlfn.XLOOKUP(SessionMovements[[#This Row],[MovementID]], MovementLibrary[MovementID], MovementLibrary[Unit], "")
)</f>
        <v>kg</v>
      </c>
      <c r="F9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0">
        <v>1</v>
      </c>
      <c r="H960">
        <v>1</v>
      </c>
      <c r="K960" t="s">
        <v>1248</v>
      </c>
      <c r="L960" s="5" t="str">
        <f>IF(COUNTIF(Sessions[SessionID],SessionMovements[[#This Row],[SessionID]])=0,"❌ Missing","✔ OK")</f>
        <v>✔ OK</v>
      </c>
    </row>
    <row r="961" spans="1:12" x14ac:dyDescent="0.3">
      <c r="A961" t="s">
        <v>1270</v>
      </c>
      <c r="B961" t="s">
        <v>261</v>
      </c>
      <c r="C961" t="str">
        <f>IF(SessionMovements[[#This Row],[MovementID]]="","",
   _xlfn.XLOOKUP(SessionMovements[[#This Row],[MovementID]],MovementLibrary[MovementID],MovementLibrary[Name],"")
)</f>
        <v>Clean &amp; Jerk</v>
      </c>
      <c r="D961" s="5" t="str">
        <f>IF(SessionMovements[[#This Row],[MovementID]]="","",
   _xlfn.XLOOKUP(SessionMovements[[#This Row],[MovementID]], MovementLibrary[MovementID], MovementLibrary[Modality], "")
)</f>
        <v>Barbell</v>
      </c>
      <c r="E961" s="5" t="str">
        <f>IF(SessionMovements[[#This Row],[MovementID]]="","",
   _xlfn.XLOOKUP(SessionMovements[[#This Row],[MovementID]], MovementLibrary[MovementID], MovementLibrary[Unit], "")
)</f>
        <v>kg</v>
      </c>
      <c r="F9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1">
        <v>1</v>
      </c>
      <c r="H961" t="s">
        <v>1249</v>
      </c>
      <c r="K961" t="s">
        <v>1248</v>
      </c>
      <c r="L961" s="5" t="str">
        <f>IF(COUNTIF(Sessions[SessionID],SessionMovements[[#This Row],[SessionID]])=0,"❌ Missing","✔ OK")</f>
        <v>✔ OK</v>
      </c>
    </row>
    <row r="962" spans="1:12" x14ac:dyDescent="0.3">
      <c r="A962" t="s">
        <v>1407</v>
      </c>
      <c r="B962" t="s">
        <v>1465</v>
      </c>
      <c r="C962" t="str">
        <f>IF(SessionMovements[[#This Row],[MovementID]]="","",
   _xlfn.XLOOKUP(SessionMovements[[#This Row],[MovementID]],MovementLibrary[MovementID],MovementLibrary[Name],"")
)</f>
        <v>Clean Grip OHS</v>
      </c>
      <c r="D962" s="5" t="str">
        <f>IF(SessionMovements[[#This Row],[MovementID]]="","",
   _xlfn.XLOOKUP(SessionMovements[[#This Row],[MovementID]], MovementLibrary[MovementID], MovementLibrary[Modality], "")
)</f>
        <v>Barbell</v>
      </c>
      <c r="E962" s="5" t="str">
        <f>IF(SessionMovements[[#This Row],[MovementID]]="","",
   _xlfn.XLOOKUP(SessionMovements[[#This Row],[MovementID]], MovementLibrary[MovementID], MovementLibrary[Unit], "")
)</f>
        <v>kg</v>
      </c>
      <c r="F9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2">
        <v>4</v>
      </c>
      <c r="H962">
        <v>6</v>
      </c>
      <c r="J962">
        <v>65</v>
      </c>
      <c r="L962" s="5" t="str">
        <f>IF(COUNTIF(Sessions[SessionID],SessionMovements[[#This Row],[SessionID]])=0,"❌ Missing","✔ OK")</f>
        <v>✔ OK</v>
      </c>
    </row>
    <row r="963" spans="1:12" x14ac:dyDescent="0.3">
      <c r="A963" t="s">
        <v>1408</v>
      </c>
      <c r="B963" t="s">
        <v>298</v>
      </c>
      <c r="C963" t="str">
        <f>IF(SessionMovements[[#This Row],[MovementID]]="","",
   _xlfn.XLOOKUP(SessionMovements[[#This Row],[MovementID]],MovementLibrary[MovementID],MovementLibrary[Name],"")
)</f>
        <v>Back Squat</v>
      </c>
      <c r="D963" s="5" t="str">
        <f>IF(SessionMovements[[#This Row],[MovementID]]="","",
   _xlfn.XLOOKUP(SessionMovements[[#This Row],[MovementID]], MovementLibrary[MovementID], MovementLibrary[Modality], "")
)</f>
        <v>Barbell</v>
      </c>
      <c r="E963" s="5" t="str">
        <f>IF(SessionMovements[[#This Row],[MovementID]]="","",
   _xlfn.XLOOKUP(SessionMovements[[#This Row],[MovementID]], MovementLibrary[MovementID], MovementLibrary[Unit], "")
)</f>
        <v>kg</v>
      </c>
      <c r="F9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3">
        <v>3</v>
      </c>
      <c r="H963">
        <v>2</v>
      </c>
      <c r="J963">
        <v>60</v>
      </c>
      <c r="L963" s="5" t="str">
        <f>IF(COUNTIF(Sessions[SessionID],SessionMovements[[#This Row],[SessionID]])=0,"❌ Missing","✔ OK")</f>
        <v>✔ OK</v>
      </c>
    </row>
    <row r="964" spans="1:12" x14ac:dyDescent="0.3">
      <c r="A964" t="s">
        <v>1409</v>
      </c>
      <c r="B964" t="s">
        <v>1465</v>
      </c>
      <c r="C964" t="str">
        <f>IF(SessionMovements[[#This Row],[MovementID]]="","",
   _xlfn.XLOOKUP(SessionMovements[[#This Row],[MovementID]],MovementLibrary[MovementID],MovementLibrary[Name],"")
)</f>
        <v>Clean Grip OHS</v>
      </c>
      <c r="D964" s="5" t="str">
        <f>IF(SessionMovements[[#This Row],[MovementID]]="","",
   _xlfn.XLOOKUP(SessionMovements[[#This Row],[MovementID]], MovementLibrary[MovementID], MovementLibrary[Modality], "")
)</f>
        <v>Barbell</v>
      </c>
      <c r="E964" s="5" t="str">
        <f>IF(SessionMovements[[#This Row],[MovementID]]="","",
   _xlfn.XLOOKUP(SessionMovements[[#This Row],[MovementID]], MovementLibrary[MovementID], MovementLibrary[Unit], "")
)</f>
        <v>kg</v>
      </c>
      <c r="F9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4">
        <v>3</v>
      </c>
      <c r="H964">
        <v>2</v>
      </c>
      <c r="J964">
        <v>60</v>
      </c>
      <c r="L964" s="5" t="str">
        <f>IF(COUNTIF(Sessions[SessionID],SessionMovements[[#This Row],[SessionID]])=0,"❌ Missing","✔ OK")</f>
        <v>✔ OK</v>
      </c>
    </row>
    <row r="965" spans="1:12" x14ac:dyDescent="0.3">
      <c r="A965" t="s">
        <v>1410</v>
      </c>
      <c r="B965" t="s">
        <v>298</v>
      </c>
      <c r="C965" t="str">
        <f>IF(SessionMovements[[#This Row],[MovementID]]="","",
   _xlfn.XLOOKUP(SessionMovements[[#This Row],[MovementID]],MovementLibrary[MovementID],MovementLibrary[Name],"")
)</f>
        <v>Back Squat</v>
      </c>
      <c r="D965" s="5" t="str">
        <f>IF(SessionMovements[[#This Row],[MovementID]]="","",
   _xlfn.XLOOKUP(SessionMovements[[#This Row],[MovementID]], MovementLibrary[MovementID], MovementLibrary[Modality], "")
)</f>
        <v>Barbell</v>
      </c>
      <c r="E965" s="5" t="str">
        <f>IF(SessionMovements[[#This Row],[MovementID]]="","",
   _xlfn.XLOOKUP(SessionMovements[[#This Row],[MovementID]], MovementLibrary[MovementID], MovementLibrary[Unit], "")
)</f>
        <v>kg</v>
      </c>
      <c r="F9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5">
        <v>4</v>
      </c>
      <c r="H965">
        <v>5</v>
      </c>
      <c r="J965">
        <v>65</v>
      </c>
      <c r="L965" s="5" t="str">
        <f>IF(COUNTIF(Sessions[SessionID],SessionMovements[[#This Row],[SessionID]])=0,"❌ Missing","✔ OK")</f>
        <v>✔ OK</v>
      </c>
    </row>
    <row r="966" spans="1:12" x14ac:dyDescent="0.3">
      <c r="A966" t="s">
        <v>1406</v>
      </c>
      <c r="B966" t="s">
        <v>1465</v>
      </c>
      <c r="C966" t="str">
        <f>IF(SessionMovements[[#This Row],[MovementID]]="","",
   _xlfn.XLOOKUP(SessionMovements[[#This Row],[MovementID]],MovementLibrary[MovementID],MovementLibrary[Name],"")
)</f>
        <v>Clean Grip OHS</v>
      </c>
      <c r="D966" s="5" t="str">
        <f>IF(SessionMovements[[#This Row],[MovementID]]="","",
   _xlfn.XLOOKUP(SessionMovements[[#This Row],[MovementID]], MovementLibrary[MovementID], MovementLibrary[Modality], "")
)</f>
        <v>Barbell</v>
      </c>
      <c r="E966" s="5" t="str">
        <f>IF(SessionMovements[[#This Row],[MovementID]]="","",
   _xlfn.XLOOKUP(SessionMovements[[#This Row],[MovementID]], MovementLibrary[MovementID], MovementLibrary[Unit], "")
)</f>
        <v>kg</v>
      </c>
      <c r="F9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6">
        <v>3</v>
      </c>
      <c r="H966">
        <v>2</v>
      </c>
      <c r="J966">
        <v>60</v>
      </c>
      <c r="L966" s="5" t="str">
        <f>IF(COUNTIF(Sessions[SessionID],SessionMovements[[#This Row],[SessionID]])=0,"❌ Missing","✔ OK")</f>
        <v>✔ OK</v>
      </c>
    </row>
    <row r="967" spans="1:12" x14ac:dyDescent="0.3">
      <c r="A967" t="s">
        <v>1411</v>
      </c>
      <c r="B967" t="s">
        <v>1465</v>
      </c>
      <c r="C967" t="str">
        <f>IF(SessionMovements[[#This Row],[MovementID]]="","",
   _xlfn.XLOOKUP(SessionMovements[[#This Row],[MovementID]],MovementLibrary[MovementID],MovementLibrary[Name],"")
)</f>
        <v>Clean Grip OHS</v>
      </c>
      <c r="D967" s="5" t="str">
        <f>IF(SessionMovements[[#This Row],[MovementID]]="","",
   _xlfn.XLOOKUP(SessionMovements[[#This Row],[MovementID]], MovementLibrary[MovementID], MovementLibrary[Modality], "")
)</f>
        <v>Barbell</v>
      </c>
      <c r="E967" s="5" t="str">
        <f>IF(SessionMovements[[#This Row],[MovementID]]="","",
   _xlfn.XLOOKUP(SessionMovements[[#This Row],[MovementID]], MovementLibrary[MovementID], MovementLibrary[Unit], "")
)</f>
        <v>kg</v>
      </c>
      <c r="F9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7">
        <v>3</v>
      </c>
      <c r="H967">
        <v>2</v>
      </c>
      <c r="J967">
        <v>65</v>
      </c>
      <c r="L967" s="5" t="str">
        <f>IF(COUNTIF(Sessions[SessionID],SessionMovements[[#This Row],[SessionID]])=0,"❌ Missing","✔ OK")</f>
        <v>✔ OK</v>
      </c>
    </row>
    <row r="968" spans="1:12" x14ac:dyDescent="0.3">
      <c r="A968" t="s">
        <v>1412</v>
      </c>
      <c r="B968" t="s">
        <v>1465</v>
      </c>
      <c r="C968" t="str">
        <f>IF(SessionMovements[[#This Row],[MovementID]]="","",
   _xlfn.XLOOKUP(SessionMovements[[#This Row],[MovementID]],MovementLibrary[MovementID],MovementLibrary[Name],"")
)</f>
        <v>Clean Grip OHS</v>
      </c>
      <c r="D968" s="5" t="str">
        <f>IF(SessionMovements[[#This Row],[MovementID]]="","",
   _xlfn.XLOOKUP(SessionMovements[[#This Row],[MovementID]], MovementLibrary[MovementID], MovementLibrary[Modality], "")
)</f>
        <v>Barbell</v>
      </c>
      <c r="E968" s="5" t="str">
        <f>IF(SessionMovements[[#This Row],[MovementID]]="","",
   _xlfn.XLOOKUP(SessionMovements[[#This Row],[MovementID]], MovementLibrary[MovementID], MovementLibrary[Unit], "")
)</f>
        <v>kg</v>
      </c>
      <c r="F9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8">
        <v>6</v>
      </c>
      <c r="H968">
        <v>6</v>
      </c>
      <c r="J968">
        <v>70</v>
      </c>
      <c r="L968" s="5" t="str">
        <f>IF(COUNTIF(Sessions[SessionID],SessionMovements[[#This Row],[SessionID]])=0,"❌ Missing","✔ OK")</f>
        <v>✔ OK</v>
      </c>
    </row>
    <row r="969" spans="1:12" x14ac:dyDescent="0.3">
      <c r="A969" t="s">
        <v>1469</v>
      </c>
      <c r="B969" t="s">
        <v>298</v>
      </c>
      <c r="C969" t="str">
        <f>IF(SessionMovements[[#This Row],[MovementID]]="","",
   _xlfn.XLOOKUP(SessionMovements[[#This Row],[MovementID]],MovementLibrary[MovementID],MovementLibrary[Name],"")
)</f>
        <v>Back Squat</v>
      </c>
      <c r="D969" s="5" t="str">
        <f>IF(SessionMovements[[#This Row],[MovementID]]="","",
   _xlfn.XLOOKUP(SessionMovements[[#This Row],[MovementID]], MovementLibrary[MovementID], MovementLibrary[Modality], "")
)</f>
        <v>Barbell</v>
      </c>
      <c r="E969" s="5" t="str">
        <f>IF(SessionMovements[[#This Row],[MovementID]]="","",
   _xlfn.XLOOKUP(SessionMovements[[#This Row],[MovementID]], MovementLibrary[MovementID], MovementLibrary[Unit], "")
)</f>
        <v>kg</v>
      </c>
      <c r="F9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69">
        <v>3</v>
      </c>
      <c r="H969">
        <v>2</v>
      </c>
      <c r="J969">
        <v>60</v>
      </c>
      <c r="L969" s="5" t="str">
        <f>IF(COUNTIF(Sessions[SessionID],SessionMovements[[#This Row],[SessionID]])=0,"❌ Missing","✔ OK")</f>
        <v>✔ OK</v>
      </c>
    </row>
    <row r="970" spans="1:12" x14ac:dyDescent="0.3">
      <c r="A970" t="s">
        <v>1413</v>
      </c>
      <c r="B970" t="s">
        <v>1465</v>
      </c>
      <c r="C970" t="str">
        <f>IF(SessionMovements[[#This Row],[MovementID]]="","",
   _xlfn.XLOOKUP(SessionMovements[[#This Row],[MovementID]],MovementLibrary[MovementID],MovementLibrary[Name],"")
)</f>
        <v>Clean Grip OHS</v>
      </c>
      <c r="D970" s="5" t="str">
        <f>IF(SessionMovements[[#This Row],[MovementID]]="","",
   _xlfn.XLOOKUP(SessionMovements[[#This Row],[MovementID]], MovementLibrary[MovementID], MovementLibrary[Modality], "")
)</f>
        <v>Barbell</v>
      </c>
      <c r="E970" s="5" t="str">
        <f>IF(SessionMovements[[#This Row],[MovementID]]="","",
   _xlfn.XLOOKUP(SessionMovements[[#This Row],[MovementID]], MovementLibrary[MovementID], MovementLibrary[Unit], "")
)</f>
        <v>kg</v>
      </c>
      <c r="F9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0">
        <v>3</v>
      </c>
      <c r="H970">
        <v>2</v>
      </c>
      <c r="J970">
        <v>60</v>
      </c>
      <c r="L970" s="5" t="str">
        <f>IF(COUNTIF(Sessions[SessionID],SessionMovements[[#This Row],[SessionID]])=0,"❌ Missing","✔ OK")</f>
        <v>✔ OK</v>
      </c>
    </row>
    <row r="971" spans="1:12" x14ac:dyDescent="0.3">
      <c r="A971" t="s">
        <v>1414</v>
      </c>
      <c r="B971" t="s">
        <v>298</v>
      </c>
      <c r="C971" t="str">
        <f>IF(SessionMovements[[#This Row],[MovementID]]="","",
   _xlfn.XLOOKUP(SessionMovements[[#This Row],[MovementID]],MovementLibrary[MovementID],MovementLibrary[Name],"")
)</f>
        <v>Back Squat</v>
      </c>
      <c r="D971" s="5" t="str">
        <f>IF(SessionMovements[[#This Row],[MovementID]]="","",
   _xlfn.XLOOKUP(SessionMovements[[#This Row],[MovementID]], MovementLibrary[MovementID], MovementLibrary[Modality], "")
)</f>
        <v>Barbell</v>
      </c>
      <c r="E971" s="5" t="str">
        <f>IF(SessionMovements[[#This Row],[MovementID]]="","",
   _xlfn.XLOOKUP(SessionMovements[[#This Row],[MovementID]], MovementLibrary[MovementID], MovementLibrary[Unit], "")
)</f>
        <v>kg</v>
      </c>
      <c r="F9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1">
        <v>6</v>
      </c>
      <c r="H971">
        <v>5</v>
      </c>
      <c r="J971">
        <v>70</v>
      </c>
      <c r="L971" s="5" t="str">
        <f>IF(COUNTIF(Sessions[SessionID],SessionMovements[[#This Row],[SessionID]])=0,"❌ Missing","✔ OK")</f>
        <v>✔ OK</v>
      </c>
    </row>
    <row r="972" spans="1:12" x14ac:dyDescent="0.3">
      <c r="A972" t="s">
        <v>1415</v>
      </c>
      <c r="B972" t="s">
        <v>1465</v>
      </c>
      <c r="C972" t="str">
        <f>IF(SessionMovements[[#This Row],[MovementID]]="","",
   _xlfn.XLOOKUP(SessionMovements[[#This Row],[MovementID]],MovementLibrary[MovementID],MovementLibrary[Name],"")
)</f>
        <v>Clean Grip OHS</v>
      </c>
      <c r="D972" s="5" t="str">
        <f>IF(SessionMovements[[#This Row],[MovementID]]="","",
   _xlfn.XLOOKUP(SessionMovements[[#This Row],[MovementID]], MovementLibrary[MovementID], MovementLibrary[Modality], "")
)</f>
        <v>Barbell</v>
      </c>
      <c r="E972" s="5" t="str">
        <f>IF(SessionMovements[[#This Row],[MovementID]]="","",
   _xlfn.XLOOKUP(SessionMovements[[#This Row],[MovementID]], MovementLibrary[MovementID], MovementLibrary[Unit], "")
)</f>
        <v>kg</v>
      </c>
      <c r="F9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2">
        <v>3</v>
      </c>
      <c r="H972">
        <v>2</v>
      </c>
      <c r="J972">
        <v>60</v>
      </c>
      <c r="L972" s="5" t="str">
        <f>IF(COUNTIF(Sessions[SessionID],SessionMovements[[#This Row],[SessionID]])=0,"❌ Missing","✔ OK")</f>
        <v>✔ OK</v>
      </c>
    </row>
    <row r="973" spans="1:12" x14ac:dyDescent="0.3">
      <c r="A973" t="s">
        <v>1416</v>
      </c>
      <c r="B973" t="s">
        <v>1465</v>
      </c>
      <c r="C973" t="str">
        <f>IF(SessionMovements[[#This Row],[MovementID]]="","",
   _xlfn.XLOOKUP(SessionMovements[[#This Row],[MovementID]],MovementLibrary[MovementID],MovementLibrary[Name],"")
)</f>
        <v>Clean Grip OHS</v>
      </c>
      <c r="D973" s="5" t="str">
        <f>IF(SessionMovements[[#This Row],[MovementID]]="","",
   _xlfn.XLOOKUP(SessionMovements[[#This Row],[MovementID]], MovementLibrary[MovementID], MovementLibrary[Modality], "")
)</f>
        <v>Barbell</v>
      </c>
      <c r="E973" s="5" t="str">
        <f>IF(SessionMovements[[#This Row],[MovementID]]="","",
   _xlfn.XLOOKUP(SessionMovements[[#This Row],[MovementID]], MovementLibrary[MovementID], MovementLibrary[Unit], "")
)</f>
        <v>kg</v>
      </c>
      <c r="F9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3">
        <v>3</v>
      </c>
      <c r="H973">
        <v>2</v>
      </c>
      <c r="J973">
        <v>70</v>
      </c>
      <c r="L973" s="5" t="str">
        <f>IF(COUNTIF(Sessions[SessionID],SessionMovements[[#This Row],[SessionID]])=0,"❌ Missing","✔ OK")</f>
        <v>✔ OK</v>
      </c>
    </row>
    <row r="974" spans="1:12" x14ac:dyDescent="0.3">
      <c r="A974" t="s">
        <v>1417</v>
      </c>
      <c r="B974" t="s">
        <v>1465</v>
      </c>
      <c r="C974" t="str">
        <f>IF(SessionMovements[[#This Row],[MovementID]]="","",
   _xlfn.XLOOKUP(SessionMovements[[#This Row],[MovementID]],MovementLibrary[MovementID],MovementLibrary[Name],"")
)</f>
        <v>Clean Grip OHS</v>
      </c>
      <c r="D974" s="5" t="str">
        <f>IF(SessionMovements[[#This Row],[MovementID]]="","",
   _xlfn.XLOOKUP(SessionMovements[[#This Row],[MovementID]], MovementLibrary[MovementID], MovementLibrary[Modality], "")
)</f>
        <v>Barbell</v>
      </c>
      <c r="E974" s="5" t="str">
        <f>IF(SessionMovements[[#This Row],[MovementID]]="","",
   _xlfn.XLOOKUP(SessionMovements[[#This Row],[MovementID]], MovementLibrary[MovementID], MovementLibrary[Unit], "")
)</f>
        <v>kg</v>
      </c>
      <c r="F9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4">
        <v>8</v>
      </c>
      <c r="H974">
        <v>6</v>
      </c>
      <c r="J974">
        <v>70</v>
      </c>
      <c r="L974" s="5" t="str">
        <f>IF(COUNTIF(Sessions[SessionID],SessionMovements[[#This Row],[SessionID]])=0,"❌ Missing","✔ OK")</f>
        <v>✔ OK</v>
      </c>
    </row>
    <row r="975" spans="1:12" x14ac:dyDescent="0.3">
      <c r="A975" t="s">
        <v>1418</v>
      </c>
      <c r="B975" t="s">
        <v>298</v>
      </c>
      <c r="C975" t="str">
        <f>IF(SessionMovements[[#This Row],[MovementID]]="","",
   _xlfn.XLOOKUP(SessionMovements[[#This Row],[MovementID]],MovementLibrary[MovementID],MovementLibrary[Name],"")
)</f>
        <v>Back Squat</v>
      </c>
      <c r="D975" s="5" t="str">
        <f>IF(SessionMovements[[#This Row],[MovementID]]="","",
   _xlfn.XLOOKUP(SessionMovements[[#This Row],[MovementID]], MovementLibrary[MovementID], MovementLibrary[Modality], "")
)</f>
        <v>Barbell</v>
      </c>
      <c r="E975" s="5" t="str">
        <f>IF(SessionMovements[[#This Row],[MovementID]]="","",
   _xlfn.XLOOKUP(SessionMovements[[#This Row],[MovementID]], MovementLibrary[MovementID], MovementLibrary[Unit], "")
)</f>
        <v>kg</v>
      </c>
      <c r="F9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5">
        <v>3</v>
      </c>
      <c r="H975">
        <v>2</v>
      </c>
      <c r="J975">
        <v>60</v>
      </c>
      <c r="L975" s="5" t="str">
        <f>IF(COUNTIF(Sessions[SessionID],SessionMovements[[#This Row],[SessionID]])=0,"❌ Missing","✔ OK")</f>
        <v>✔ OK</v>
      </c>
    </row>
    <row r="976" spans="1:12" x14ac:dyDescent="0.3">
      <c r="A976" t="s">
        <v>1419</v>
      </c>
      <c r="B976" t="s">
        <v>1465</v>
      </c>
      <c r="C976" t="str">
        <f>IF(SessionMovements[[#This Row],[MovementID]]="","",
   _xlfn.XLOOKUP(SessionMovements[[#This Row],[MovementID]],MovementLibrary[MovementID],MovementLibrary[Name],"")
)</f>
        <v>Clean Grip OHS</v>
      </c>
      <c r="D976" s="5" t="str">
        <f>IF(SessionMovements[[#This Row],[MovementID]]="","",
   _xlfn.XLOOKUP(SessionMovements[[#This Row],[MovementID]], MovementLibrary[MovementID], MovementLibrary[Modality], "")
)</f>
        <v>Barbell</v>
      </c>
      <c r="E976" s="5" t="str">
        <f>IF(SessionMovements[[#This Row],[MovementID]]="","",
   _xlfn.XLOOKUP(SessionMovements[[#This Row],[MovementID]], MovementLibrary[MovementID], MovementLibrary[Unit], "")
)</f>
        <v>kg</v>
      </c>
      <c r="F9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6">
        <v>3</v>
      </c>
      <c r="H976">
        <v>2</v>
      </c>
      <c r="J976">
        <v>60</v>
      </c>
      <c r="L976" s="5" t="str">
        <f>IF(COUNTIF(Sessions[SessionID],SessionMovements[[#This Row],[SessionID]])=0,"❌ Missing","✔ OK")</f>
        <v>✔ OK</v>
      </c>
    </row>
    <row r="977" spans="1:12" x14ac:dyDescent="0.3">
      <c r="A977" t="s">
        <v>1420</v>
      </c>
      <c r="B977" t="s">
        <v>298</v>
      </c>
      <c r="C977" t="str">
        <f>IF(SessionMovements[[#This Row],[MovementID]]="","",
   _xlfn.XLOOKUP(SessionMovements[[#This Row],[MovementID]],MovementLibrary[MovementID],MovementLibrary[Name],"")
)</f>
        <v>Back Squat</v>
      </c>
      <c r="D977" s="5" t="str">
        <f>IF(SessionMovements[[#This Row],[MovementID]]="","",
   _xlfn.XLOOKUP(SessionMovements[[#This Row],[MovementID]], MovementLibrary[MovementID], MovementLibrary[Modality], "")
)</f>
        <v>Barbell</v>
      </c>
      <c r="E977" s="5" t="str">
        <f>IF(SessionMovements[[#This Row],[MovementID]]="","",
   _xlfn.XLOOKUP(SessionMovements[[#This Row],[MovementID]], MovementLibrary[MovementID], MovementLibrary[Unit], "")
)</f>
        <v>kg</v>
      </c>
      <c r="F9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7">
        <v>8</v>
      </c>
      <c r="H977">
        <v>5</v>
      </c>
      <c r="J977">
        <v>70</v>
      </c>
      <c r="L977" s="5" t="str">
        <f>IF(COUNTIF(Sessions[SessionID],SessionMovements[[#This Row],[SessionID]])=0,"❌ Missing","✔ OK")</f>
        <v>✔ OK</v>
      </c>
    </row>
    <row r="978" spans="1:12" x14ac:dyDescent="0.3">
      <c r="A978" t="s">
        <v>1421</v>
      </c>
      <c r="B978" t="s">
        <v>1465</v>
      </c>
      <c r="C978" t="str">
        <f>IF(SessionMovements[[#This Row],[MovementID]]="","",
   _xlfn.XLOOKUP(SessionMovements[[#This Row],[MovementID]],MovementLibrary[MovementID],MovementLibrary[Name],"")
)</f>
        <v>Clean Grip OHS</v>
      </c>
      <c r="D978" s="5" t="str">
        <f>IF(SessionMovements[[#This Row],[MovementID]]="","",
   _xlfn.XLOOKUP(SessionMovements[[#This Row],[MovementID]], MovementLibrary[MovementID], MovementLibrary[Modality], "")
)</f>
        <v>Barbell</v>
      </c>
      <c r="E978" s="5" t="str">
        <f>IF(SessionMovements[[#This Row],[MovementID]]="","",
   _xlfn.XLOOKUP(SessionMovements[[#This Row],[MovementID]], MovementLibrary[MovementID], MovementLibrary[Unit], "")
)</f>
        <v>kg</v>
      </c>
      <c r="F9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8">
        <v>3</v>
      </c>
      <c r="H978">
        <v>2</v>
      </c>
      <c r="J978">
        <v>60</v>
      </c>
      <c r="L978" s="5" t="str">
        <f>IF(COUNTIF(Sessions[SessionID],SessionMovements[[#This Row],[SessionID]])=0,"❌ Missing","✔ OK")</f>
        <v>✔ OK</v>
      </c>
    </row>
    <row r="979" spans="1:12" x14ac:dyDescent="0.3">
      <c r="A979" t="s">
        <v>1422</v>
      </c>
      <c r="B979" t="s">
        <v>1465</v>
      </c>
      <c r="C979" t="str">
        <f>IF(SessionMovements[[#This Row],[MovementID]]="","",
   _xlfn.XLOOKUP(SessionMovements[[#This Row],[MovementID]],MovementLibrary[MovementID],MovementLibrary[Name],"")
)</f>
        <v>Clean Grip OHS</v>
      </c>
      <c r="D979" s="5" t="str">
        <f>IF(SessionMovements[[#This Row],[MovementID]]="","",
   _xlfn.XLOOKUP(SessionMovements[[#This Row],[MovementID]], MovementLibrary[MovementID], MovementLibrary[Modality], "")
)</f>
        <v>Barbell</v>
      </c>
      <c r="E979" s="5" t="str">
        <f>IF(SessionMovements[[#This Row],[MovementID]]="","",
   _xlfn.XLOOKUP(SessionMovements[[#This Row],[MovementID]], MovementLibrary[MovementID], MovementLibrary[Unit], "")
)</f>
        <v>kg</v>
      </c>
      <c r="F9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79">
        <v>3</v>
      </c>
      <c r="H979">
        <v>2</v>
      </c>
      <c r="J979">
        <v>70</v>
      </c>
      <c r="L979" s="5" t="str">
        <f>IF(COUNTIF(Sessions[SessionID],SessionMovements[[#This Row],[SessionID]])=0,"❌ Missing","✔ OK")</f>
        <v>✔ OK</v>
      </c>
    </row>
    <row r="980" spans="1:12" x14ac:dyDescent="0.3">
      <c r="A980" t="s">
        <v>1423</v>
      </c>
      <c r="B980" t="s">
        <v>1465</v>
      </c>
      <c r="C980" t="str">
        <f>IF(SessionMovements[[#This Row],[MovementID]]="","",
   _xlfn.XLOOKUP(SessionMovements[[#This Row],[MovementID]],MovementLibrary[MovementID],MovementLibrary[Name],"")
)</f>
        <v>Clean Grip OHS</v>
      </c>
      <c r="D980" s="5" t="str">
        <f>IF(SessionMovements[[#This Row],[MovementID]]="","",
   _xlfn.XLOOKUP(SessionMovements[[#This Row],[MovementID]], MovementLibrary[MovementID], MovementLibrary[Modality], "")
)</f>
        <v>Barbell</v>
      </c>
      <c r="E980" s="5" t="str">
        <f>IF(SessionMovements[[#This Row],[MovementID]]="","",
   _xlfn.XLOOKUP(SessionMovements[[#This Row],[MovementID]], MovementLibrary[MovementID], MovementLibrary[Unit], "")
)</f>
        <v>kg</v>
      </c>
      <c r="F9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0">
        <v>10</v>
      </c>
      <c r="H980">
        <v>6</v>
      </c>
      <c r="J980">
        <v>70</v>
      </c>
      <c r="L980" s="5" t="str">
        <f>IF(COUNTIF(Sessions[SessionID],SessionMovements[[#This Row],[SessionID]])=0,"❌ Missing","✔ OK")</f>
        <v>✔ OK</v>
      </c>
    </row>
    <row r="981" spans="1:12" x14ac:dyDescent="0.3">
      <c r="A981" t="s">
        <v>1424</v>
      </c>
      <c r="B981" t="s">
        <v>298</v>
      </c>
      <c r="C981" t="str">
        <f>IF(SessionMovements[[#This Row],[MovementID]]="","",
   _xlfn.XLOOKUP(SessionMovements[[#This Row],[MovementID]],MovementLibrary[MovementID],MovementLibrary[Name],"")
)</f>
        <v>Back Squat</v>
      </c>
      <c r="D981" s="5" t="str">
        <f>IF(SessionMovements[[#This Row],[MovementID]]="","",
   _xlfn.XLOOKUP(SessionMovements[[#This Row],[MovementID]], MovementLibrary[MovementID], MovementLibrary[Modality], "")
)</f>
        <v>Barbell</v>
      </c>
      <c r="E981" s="5" t="str">
        <f>IF(SessionMovements[[#This Row],[MovementID]]="","",
   _xlfn.XLOOKUP(SessionMovements[[#This Row],[MovementID]], MovementLibrary[MovementID], MovementLibrary[Unit], "")
)</f>
        <v>kg</v>
      </c>
      <c r="F9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1">
        <v>3</v>
      </c>
      <c r="H981">
        <v>2</v>
      </c>
      <c r="J981">
        <v>60</v>
      </c>
      <c r="L981" s="5" t="str">
        <f>IF(COUNTIF(Sessions[SessionID],SessionMovements[[#This Row],[SessionID]])=0,"❌ Missing","✔ OK")</f>
        <v>✔ OK</v>
      </c>
    </row>
    <row r="982" spans="1:12" x14ac:dyDescent="0.3">
      <c r="A982" t="s">
        <v>1425</v>
      </c>
      <c r="B982" t="s">
        <v>1465</v>
      </c>
      <c r="C982" t="str">
        <f>IF(SessionMovements[[#This Row],[MovementID]]="","",
   _xlfn.XLOOKUP(SessionMovements[[#This Row],[MovementID]],MovementLibrary[MovementID],MovementLibrary[Name],"")
)</f>
        <v>Clean Grip OHS</v>
      </c>
      <c r="D982" s="5" t="str">
        <f>IF(SessionMovements[[#This Row],[MovementID]]="","",
   _xlfn.XLOOKUP(SessionMovements[[#This Row],[MovementID]], MovementLibrary[MovementID], MovementLibrary[Modality], "")
)</f>
        <v>Barbell</v>
      </c>
      <c r="E982" s="5" t="str">
        <f>IF(SessionMovements[[#This Row],[MovementID]]="","",
   _xlfn.XLOOKUP(SessionMovements[[#This Row],[MovementID]], MovementLibrary[MovementID], MovementLibrary[Unit], "")
)</f>
        <v>kg</v>
      </c>
      <c r="F9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2">
        <v>3</v>
      </c>
      <c r="H982">
        <v>2</v>
      </c>
      <c r="J982">
        <v>60</v>
      </c>
      <c r="L982" s="5" t="str">
        <f>IF(COUNTIF(Sessions[SessionID],SessionMovements[[#This Row],[SessionID]])=0,"❌ Missing","✔ OK")</f>
        <v>✔ OK</v>
      </c>
    </row>
    <row r="983" spans="1:12" x14ac:dyDescent="0.3">
      <c r="A983" t="s">
        <v>1426</v>
      </c>
      <c r="B983" t="s">
        <v>298</v>
      </c>
      <c r="C983" t="str">
        <f>IF(SessionMovements[[#This Row],[MovementID]]="","",
   _xlfn.XLOOKUP(SessionMovements[[#This Row],[MovementID]],MovementLibrary[MovementID],MovementLibrary[Name],"")
)</f>
        <v>Back Squat</v>
      </c>
      <c r="D983" s="5" t="str">
        <f>IF(SessionMovements[[#This Row],[MovementID]]="","",
   _xlfn.XLOOKUP(SessionMovements[[#This Row],[MovementID]], MovementLibrary[MovementID], MovementLibrary[Modality], "")
)</f>
        <v>Barbell</v>
      </c>
      <c r="E983" s="5" t="str">
        <f>IF(SessionMovements[[#This Row],[MovementID]]="","",
   _xlfn.XLOOKUP(SessionMovements[[#This Row],[MovementID]], MovementLibrary[MovementID], MovementLibrary[Unit], "")
)</f>
        <v>kg</v>
      </c>
      <c r="F9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3">
        <v>10</v>
      </c>
      <c r="H983">
        <v>5</v>
      </c>
      <c r="J983">
        <v>70</v>
      </c>
      <c r="L983" s="5" t="str">
        <f>IF(COUNTIF(Sessions[SessionID],SessionMovements[[#This Row],[SessionID]])=0,"❌ Missing","✔ OK")</f>
        <v>✔ OK</v>
      </c>
    </row>
    <row r="984" spans="1:12" x14ac:dyDescent="0.3">
      <c r="A984" t="s">
        <v>1427</v>
      </c>
      <c r="B984" t="s">
        <v>1465</v>
      </c>
      <c r="C984" t="str">
        <f>IF(SessionMovements[[#This Row],[MovementID]]="","",
   _xlfn.XLOOKUP(SessionMovements[[#This Row],[MovementID]],MovementLibrary[MovementID],MovementLibrary[Name],"")
)</f>
        <v>Clean Grip OHS</v>
      </c>
      <c r="D984" s="5" t="str">
        <f>IF(SessionMovements[[#This Row],[MovementID]]="","",
   _xlfn.XLOOKUP(SessionMovements[[#This Row],[MovementID]], MovementLibrary[MovementID], MovementLibrary[Modality], "")
)</f>
        <v>Barbell</v>
      </c>
      <c r="E984" s="5" t="str">
        <f>IF(SessionMovements[[#This Row],[MovementID]]="","",
   _xlfn.XLOOKUP(SessionMovements[[#This Row],[MovementID]], MovementLibrary[MovementID], MovementLibrary[Unit], "")
)</f>
        <v>kg</v>
      </c>
      <c r="F9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4">
        <v>3</v>
      </c>
      <c r="H984">
        <v>2</v>
      </c>
      <c r="J984">
        <v>60</v>
      </c>
      <c r="L984" s="5" t="str">
        <f>IF(COUNTIF(Sessions[SessionID],SessionMovements[[#This Row],[SessionID]])=0,"❌ Missing","✔ OK")</f>
        <v>✔ OK</v>
      </c>
    </row>
    <row r="985" spans="1:12" x14ac:dyDescent="0.3">
      <c r="A985" t="s">
        <v>1428</v>
      </c>
      <c r="B985" t="s">
        <v>1465</v>
      </c>
      <c r="C985" t="str">
        <f>IF(SessionMovements[[#This Row],[MovementID]]="","",
   _xlfn.XLOOKUP(SessionMovements[[#This Row],[MovementID]],MovementLibrary[MovementID],MovementLibrary[Name],"")
)</f>
        <v>Clean Grip OHS</v>
      </c>
      <c r="D985" s="5" t="str">
        <f>IF(SessionMovements[[#This Row],[MovementID]]="","",
   _xlfn.XLOOKUP(SessionMovements[[#This Row],[MovementID]], MovementLibrary[MovementID], MovementLibrary[Modality], "")
)</f>
        <v>Barbell</v>
      </c>
      <c r="E985" s="5" t="str">
        <f>IF(SessionMovements[[#This Row],[MovementID]]="","",
   _xlfn.XLOOKUP(SessionMovements[[#This Row],[MovementID]], MovementLibrary[MovementID], MovementLibrary[Unit], "")
)</f>
        <v>kg</v>
      </c>
      <c r="F9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5">
        <v>3</v>
      </c>
      <c r="H985">
        <v>2</v>
      </c>
      <c r="J985">
        <v>70</v>
      </c>
      <c r="L985" s="5" t="str">
        <f>IF(COUNTIF(Sessions[SessionID],SessionMovements[[#This Row],[SessionID]])=0,"❌ Missing","✔ OK")</f>
        <v>✔ OK</v>
      </c>
    </row>
    <row r="986" spans="1:12" x14ac:dyDescent="0.3">
      <c r="A986" t="s">
        <v>1429</v>
      </c>
      <c r="B986" t="s">
        <v>1465</v>
      </c>
      <c r="C986" t="str">
        <f>IF(SessionMovements[[#This Row],[MovementID]]="","",
   _xlfn.XLOOKUP(SessionMovements[[#This Row],[MovementID]],MovementLibrary[MovementID],MovementLibrary[Name],"")
)</f>
        <v>Clean Grip OHS</v>
      </c>
      <c r="D986" s="5" t="str">
        <f>IF(SessionMovements[[#This Row],[MovementID]]="","",
   _xlfn.XLOOKUP(SessionMovements[[#This Row],[MovementID]], MovementLibrary[MovementID], MovementLibrary[Modality], "")
)</f>
        <v>Barbell</v>
      </c>
      <c r="E986" s="5" t="str">
        <f>IF(SessionMovements[[#This Row],[MovementID]]="","",
   _xlfn.XLOOKUP(SessionMovements[[#This Row],[MovementID]], MovementLibrary[MovementID], MovementLibrary[Unit], "")
)</f>
        <v>kg</v>
      </c>
      <c r="F9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6">
        <v>8</v>
      </c>
      <c r="H986">
        <v>6</v>
      </c>
      <c r="J986">
        <v>75</v>
      </c>
      <c r="L986" s="5" t="str">
        <f>IF(COUNTIF(Sessions[SessionID],SessionMovements[[#This Row],[SessionID]])=0,"❌ Missing","✔ OK")</f>
        <v>✔ OK</v>
      </c>
    </row>
    <row r="987" spans="1:12" x14ac:dyDescent="0.3">
      <c r="A987" t="s">
        <v>1430</v>
      </c>
      <c r="B987" t="s">
        <v>298</v>
      </c>
      <c r="C987" t="str">
        <f>IF(SessionMovements[[#This Row],[MovementID]]="","",
   _xlfn.XLOOKUP(SessionMovements[[#This Row],[MovementID]],MovementLibrary[MovementID],MovementLibrary[Name],"")
)</f>
        <v>Back Squat</v>
      </c>
      <c r="D987" s="5" t="str">
        <f>IF(SessionMovements[[#This Row],[MovementID]]="","",
   _xlfn.XLOOKUP(SessionMovements[[#This Row],[MovementID]], MovementLibrary[MovementID], MovementLibrary[Modality], "")
)</f>
        <v>Barbell</v>
      </c>
      <c r="E987" s="5" t="str">
        <f>IF(SessionMovements[[#This Row],[MovementID]]="","",
   _xlfn.XLOOKUP(SessionMovements[[#This Row],[MovementID]], MovementLibrary[MovementID], MovementLibrary[Unit], "")
)</f>
        <v>kg</v>
      </c>
      <c r="F9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7">
        <v>3</v>
      </c>
      <c r="H987">
        <v>2</v>
      </c>
      <c r="J987">
        <v>60</v>
      </c>
      <c r="L987" s="5" t="str">
        <f>IF(COUNTIF(Sessions[SessionID],SessionMovements[[#This Row],[SessionID]])=0,"❌ Missing","✔ OK")</f>
        <v>✔ OK</v>
      </c>
    </row>
    <row r="988" spans="1:12" x14ac:dyDescent="0.3">
      <c r="A988" t="s">
        <v>1431</v>
      </c>
      <c r="B988" t="s">
        <v>1465</v>
      </c>
      <c r="C988" t="str">
        <f>IF(SessionMovements[[#This Row],[MovementID]]="","",
   _xlfn.XLOOKUP(SessionMovements[[#This Row],[MovementID]],MovementLibrary[MovementID],MovementLibrary[Name],"")
)</f>
        <v>Clean Grip OHS</v>
      </c>
      <c r="D988" s="5" t="str">
        <f>IF(SessionMovements[[#This Row],[MovementID]]="","",
   _xlfn.XLOOKUP(SessionMovements[[#This Row],[MovementID]], MovementLibrary[MovementID], MovementLibrary[Modality], "")
)</f>
        <v>Barbell</v>
      </c>
      <c r="E988" s="5" t="str">
        <f>IF(SessionMovements[[#This Row],[MovementID]]="","",
   _xlfn.XLOOKUP(SessionMovements[[#This Row],[MovementID]], MovementLibrary[MovementID], MovementLibrary[Unit], "")
)</f>
        <v>kg</v>
      </c>
      <c r="F9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8">
        <v>3</v>
      </c>
      <c r="H988">
        <v>2</v>
      </c>
      <c r="J988">
        <v>60</v>
      </c>
      <c r="L988" s="5" t="str">
        <f>IF(COUNTIF(Sessions[SessionID],SessionMovements[[#This Row],[SessionID]])=0,"❌ Missing","✔ OK")</f>
        <v>✔ OK</v>
      </c>
    </row>
    <row r="989" spans="1:12" x14ac:dyDescent="0.3">
      <c r="A989" t="s">
        <v>1432</v>
      </c>
      <c r="B989" t="s">
        <v>298</v>
      </c>
      <c r="C989" t="str">
        <f>IF(SessionMovements[[#This Row],[MovementID]]="","",
   _xlfn.XLOOKUP(SessionMovements[[#This Row],[MovementID]],MovementLibrary[MovementID],MovementLibrary[Name],"")
)</f>
        <v>Back Squat</v>
      </c>
      <c r="D989" s="5" t="str">
        <f>IF(SessionMovements[[#This Row],[MovementID]]="","",
   _xlfn.XLOOKUP(SessionMovements[[#This Row],[MovementID]], MovementLibrary[MovementID], MovementLibrary[Modality], "")
)</f>
        <v>Barbell</v>
      </c>
      <c r="E989" s="5" t="str">
        <f>IF(SessionMovements[[#This Row],[MovementID]]="","",
   _xlfn.XLOOKUP(SessionMovements[[#This Row],[MovementID]], MovementLibrary[MovementID], MovementLibrary[Unit], "")
)</f>
        <v>kg</v>
      </c>
      <c r="F9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89">
        <v>8</v>
      </c>
      <c r="H989">
        <v>4</v>
      </c>
      <c r="J989">
        <v>75</v>
      </c>
      <c r="L989" s="5" t="str">
        <f>IF(COUNTIF(Sessions[SessionID],SessionMovements[[#This Row],[SessionID]])=0,"❌ Missing","✔ OK")</f>
        <v>✔ OK</v>
      </c>
    </row>
    <row r="990" spans="1:12" x14ac:dyDescent="0.3">
      <c r="A990" t="s">
        <v>1433</v>
      </c>
      <c r="B990" t="s">
        <v>1465</v>
      </c>
      <c r="C990" t="str">
        <f>IF(SessionMovements[[#This Row],[MovementID]]="","",
   _xlfn.XLOOKUP(SessionMovements[[#This Row],[MovementID]],MovementLibrary[MovementID],MovementLibrary[Name],"")
)</f>
        <v>Clean Grip OHS</v>
      </c>
      <c r="D990" s="5" t="str">
        <f>IF(SessionMovements[[#This Row],[MovementID]]="","",
   _xlfn.XLOOKUP(SessionMovements[[#This Row],[MovementID]], MovementLibrary[MovementID], MovementLibrary[Modality], "")
)</f>
        <v>Barbell</v>
      </c>
      <c r="E990" s="5" t="str">
        <f>IF(SessionMovements[[#This Row],[MovementID]]="","",
   _xlfn.XLOOKUP(SessionMovements[[#This Row],[MovementID]], MovementLibrary[MovementID], MovementLibrary[Unit], "")
)</f>
        <v>kg</v>
      </c>
      <c r="F9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0">
        <v>3</v>
      </c>
      <c r="H990">
        <v>2</v>
      </c>
      <c r="J990">
        <v>60</v>
      </c>
      <c r="L990" s="5" t="str">
        <f>IF(COUNTIF(Sessions[SessionID],SessionMovements[[#This Row],[SessionID]])=0,"❌ Missing","✔ OK")</f>
        <v>✔ OK</v>
      </c>
    </row>
    <row r="991" spans="1:12" x14ac:dyDescent="0.3">
      <c r="A991" t="s">
        <v>1434</v>
      </c>
      <c r="B991" t="s">
        <v>1465</v>
      </c>
      <c r="C991" t="str">
        <f>IF(SessionMovements[[#This Row],[MovementID]]="","",
   _xlfn.XLOOKUP(SessionMovements[[#This Row],[MovementID]],MovementLibrary[MovementID],MovementLibrary[Name],"")
)</f>
        <v>Clean Grip OHS</v>
      </c>
      <c r="D991" s="5" t="str">
        <f>IF(SessionMovements[[#This Row],[MovementID]]="","",
   _xlfn.XLOOKUP(SessionMovements[[#This Row],[MovementID]], MovementLibrary[MovementID], MovementLibrary[Modality], "")
)</f>
        <v>Barbell</v>
      </c>
      <c r="E991" s="5" t="str">
        <f>IF(SessionMovements[[#This Row],[MovementID]]="","",
   _xlfn.XLOOKUP(SessionMovements[[#This Row],[MovementID]], MovementLibrary[MovementID], MovementLibrary[Unit], "")
)</f>
        <v>kg</v>
      </c>
      <c r="F9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1">
        <v>3</v>
      </c>
      <c r="H991">
        <v>2</v>
      </c>
      <c r="J991">
        <v>70</v>
      </c>
      <c r="L991" s="5" t="str">
        <f>IF(COUNTIF(Sessions[SessionID],SessionMovements[[#This Row],[SessionID]])=0,"❌ Missing","✔ OK")</f>
        <v>✔ OK</v>
      </c>
    </row>
    <row r="992" spans="1:12" x14ac:dyDescent="0.3">
      <c r="A992" t="s">
        <v>1435</v>
      </c>
      <c r="B992" t="s">
        <v>1465</v>
      </c>
      <c r="C992" t="str">
        <f>IF(SessionMovements[[#This Row],[MovementID]]="","",
   _xlfn.XLOOKUP(SessionMovements[[#This Row],[MovementID]],MovementLibrary[MovementID],MovementLibrary[Name],"")
)</f>
        <v>Clean Grip OHS</v>
      </c>
      <c r="D992" s="5" t="str">
        <f>IF(SessionMovements[[#This Row],[MovementID]]="","",
   _xlfn.XLOOKUP(SessionMovements[[#This Row],[MovementID]], MovementLibrary[MovementID], MovementLibrary[Modality], "")
)</f>
        <v>Barbell</v>
      </c>
      <c r="E992" s="5" t="str">
        <f>IF(SessionMovements[[#This Row],[MovementID]]="","",
   _xlfn.XLOOKUP(SessionMovements[[#This Row],[MovementID]], MovementLibrary[MovementID], MovementLibrary[Unit], "")
)</f>
        <v>kg</v>
      </c>
      <c r="F9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2">
        <v>6</v>
      </c>
      <c r="H992">
        <v>5</v>
      </c>
      <c r="J992">
        <v>80</v>
      </c>
      <c r="L992" s="5" t="str">
        <f>IF(COUNTIF(Sessions[SessionID],SessionMovements[[#This Row],[SessionID]])=0,"❌ Missing","✔ OK")</f>
        <v>✔ OK</v>
      </c>
    </row>
    <row r="993" spans="1:12" x14ac:dyDescent="0.3">
      <c r="A993" t="s">
        <v>1436</v>
      </c>
      <c r="B993" t="s">
        <v>298</v>
      </c>
      <c r="C993" t="str">
        <f>IF(SessionMovements[[#This Row],[MovementID]]="","",
   _xlfn.XLOOKUP(SessionMovements[[#This Row],[MovementID]],MovementLibrary[MovementID],MovementLibrary[Name],"")
)</f>
        <v>Back Squat</v>
      </c>
      <c r="D993" s="5" t="str">
        <f>IF(SessionMovements[[#This Row],[MovementID]]="","",
   _xlfn.XLOOKUP(SessionMovements[[#This Row],[MovementID]], MovementLibrary[MovementID], MovementLibrary[Modality], "")
)</f>
        <v>Barbell</v>
      </c>
      <c r="E993" s="5" t="str">
        <f>IF(SessionMovements[[#This Row],[MovementID]]="","",
   _xlfn.XLOOKUP(SessionMovements[[#This Row],[MovementID]], MovementLibrary[MovementID], MovementLibrary[Unit], "")
)</f>
        <v>kg</v>
      </c>
      <c r="F9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3">
        <v>3</v>
      </c>
      <c r="H993">
        <v>2</v>
      </c>
      <c r="J993">
        <v>60</v>
      </c>
      <c r="L993" s="5" t="str">
        <f>IF(COUNTIF(Sessions[SessionID],SessionMovements[[#This Row],[SessionID]])=0,"❌ Missing","✔ OK")</f>
        <v>✔ OK</v>
      </c>
    </row>
    <row r="994" spans="1:12" x14ac:dyDescent="0.3">
      <c r="A994" t="s">
        <v>1437</v>
      </c>
      <c r="B994" t="s">
        <v>1465</v>
      </c>
      <c r="C994" t="str">
        <f>IF(SessionMovements[[#This Row],[MovementID]]="","",
   _xlfn.XLOOKUP(SessionMovements[[#This Row],[MovementID]],MovementLibrary[MovementID],MovementLibrary[Name],"")
)</f>
        <v>Clean Grip OHS</v>
      </c>
      <c r="D994" s="5" t="str">
        <f>IF(SessionMovements[[#This Row],[MovementID]]="","",
   _xlfn.XLOOKUP(SessionMovements[[#This Row],[MovementID]], MovementLibrary[MovementID], MovementLibrary[Modality], "")
)</f>
        <v>Barbell</v>
      </c>
      <c r="E994" s="5" t="str">
        <f>IF(SessionMovements[[#This Row],[MovementID]]="","",
   _xlfn.XLOOKUP(SessionMovements[[#This Row],[MovementID]], MovementLibrary[MovementID], MovementLibrary[Unit], "")
)</f>
        <v>kg</v>
      </c>
      <c r="F9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4">
        <v>3</v>
      </c>
      <c r="H994">
        <v>2</v>
      </c>
      <c r="J994">
        <v>60</v>
      </c>
      <c r="L994" s="5" t="str">
        <f>IF(COUNTIF(Sessions[SessionID],SessionMovements[[#This Row],[SessionID]])=0,"❌ Missing","✔ OK")</f>
        <v>✔ OK</v>
      </c>
    </row>
    <row r="995" spans="1:12" x14ac:dyDescent="0.3">
      <c r="A995" t="s">
        <v>1438</v>
      </c>
      <c r="B995" t="s">
        <v>298</v>
      </c>
      <c r="C995" t="str">
        <f>IF(SessionMovements[[#This Row],[MovementID]]="","",
   _xlfn.XLOOKUP(SessionMovements[[#This Row],[MovementID]],MovementLibrary[MovementID],MovementLibrary[Name],"")
)</f>
        <v>Back Squat</v>
      </c>
      <c r="D995" s="5" t="str">
        <f>IF(SessionMovements[[#This Row],[MovementID]]="","",
   _xlfn.XLOOKUP(SessionMovements[[#This Row],[MovementID]], MovementLibrary[MovementID], MovementLibrary[Modality], "")
)</f>
        <v>Barbell</v>
      </c>
      <c r="E995" s="5" t="str">
        <f>IF(SessionMovements[[#This Row],[MovementID]]="","",
   _xlfn.XLOOKUP(SessionMovements[[#This Row],[MovementID]], MovementLibrary[MovementID], MovementLibrary[Unit], "")
)</f>
        <v>kg</v>
      </c>
      <c r="F9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5">
        <v>6</v>
      </c>
      <c r="H995">
        <v>4</v>
      </c>
      <c r="J995">
        <v>78</v>
      </c>
      <c r="L995" s="5" t="str">
        <f>IF(COUNTIF(Sessions[SessionID],SessionMovements[[#This Row],[SessionID]])=0,"❌ Missing","✔ OK")</f>
        <v>✔ OK</v>
      </c>
    </row>
    <row r="996" spans="1:12" x14ac:dyDescent="0.3">
      <c r="A996" t="s">
        <v>1439</v>
      </c>
      <c r="B996" t="s">
        <v>1465</v>
      </c>
      <c r="C996" t="str">
        <f>IF(SessionMovements[[#This Row],[MovementID]]="","",
   _xlfn.XLOOKUP(SessionMovements[[#This Row],[MovementID]],MovementLibrary[MovementID],MovementLibrary[Name],"")
)</f>
        <v>Clean Grip OHS</v>
      </c>
      <c r="D996" s="5" t="str">
        <f>IF(SessionMovements[[#This Row],[MovementID]]="","",
   _xlfn.XLOOKUP(SessionMovements[[#This Row],[MovementID]], MovementLibrary[MovementID], MovementLibrary[Modality], "")
)</f>
        <v>Barbell</v>
      </c>
      <c r="E996" s="5" t="str">
        <f>IF(SessionMovements[[#This Row],[MovementID]]="","",
   _xlfn.XLOOKUP(SessionMovements[[#This Row],[MovementID]], MovementLibrary[MovementID], MovementLibrary[Unit], "")
)</f>
        <v>kg</v>
      </c>
      <c r="F9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6">
        <v>3</v>
      </c>
      <c r="H996">
        <v>2</v>
      </c>
      <c r="J996">
        <v>60</v>
      </c>
      <c r="L996" s="5" t="str">
        <f>IF(COUNTIF(Sessions[SessionID],SessionMovements[[#This Row],[SessionID]])=0,"❌ Missing","✔ OK")</f>
        <v>✔ OK</v>
      </c>
    </row>
    <row r="997" spans="1:12" x14ac:dyDescent="0.3">
      <c r="A997" t="s">
        <v>1440</v>
      </c>
      <c r="B997" t="s">
        <v>1465</v>
      </c>
      <c r="C997" t="str">
        <f>IF(SessionMovements[[#This Row],[MovementID]]="","",
   _xlfn.XLOOKUP(SessionMovements[[#This Row],[MovementID]],MovementLibrary[MovementID],MovementLibrary[Name],"")
)</f>
        <v>Clean Grip OHS</v>
      </c>
      <c r="D997" s="5" t="str">
        <f>IF(SessionMovements[[#This Row],[MovementID]]="","",
   _xlfn.XLOOKUP(SessionMovements[[#This Row],[MovementID]], MovementLibrary[MovementID], MovementLibrary[Modality], "")
)</f>
        <v>Barbell</v>
      </c>
      <c r="E997" s="5" t="str">
        <f>IF(SessionMovements[[#This Row],[MovementID]]="","",
   _xlfn.XLOOKUP(SessionMovements[[#This Row],[MovementID]], MovementLibrary[MovementID], MovementLibrary[Unit], "")
)</f>
        <v>kg</v>
      </c>
      <c r="F9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7">
        <v>3</v>
      </c>
      <c r="H997">
        <v>2</v>
      </c>
      <c r="J997">
        <v>70</v>
      </c>
      <c r="L997" s="5" t="str">
        <f>IF(COUNTIF(Sessions[SessionID],SessionMovements[[#This Row],[SessionID]])=0,"❌ Missing","✔ OK")</f>
        <v>✔ OK</v>
      </c>
    </row>
    <row r="998" spans="1:12" x14ac:dyDescent="0.3">
      <c r="A998" t="s">
        <v>1441</v>
      </c>
      <c r="B998" t="s">
        <v>1465</v>
      </c>
      <c r="C998" t="str">
        <f>IF(SessionMovements[[#This Row],[MovementID]]="","",
   _xlfn.XLOOKUP(SessionMovements[[#This Row],[MovementID]],MovementLibrary[MovementID],MovementLibrary[Name],"")
)</f>
        <v>Clean Grip OHS</v>
      </c>
      <c r="D998" s="5" t="str">
        <f>IF(SessionMovements[[#This Row],[MovementID]]="","",
   _xlfn.XLOOKUP(SessionMovements[[#This Row],[MovementID]], MovementLibrary[MovementID], MovementLibrary[Modality], "")
)</f>
        <v>Barbell</v>
      </c>
      <c r="E998" s="5" t="str">
        <f>IF(SessionMovements[[#This Row],[MovementID]]="","",
   _xlfn.XLOOKUP(SessionMovements[[#This Row],[MovementID]], MovementLibrary[MovementID], MovementLibrary[Unit], "")
)</f>
        <v>kg</v>
      </c>
      <c r="F9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8">
        <v>4</v>
      </c>
      <c r="H998">
        <v>4</v>
      </c>
      <c r="J998">
        <v>85</v>
      </c>
      <c r="L998" s="5" t="str">
        <f>IF(COUNTIF(Sessions[SessionID],SessionMovements[[#This Row],[SessionID]])=0,"❌ Missing","✔ OK")</f>
        <v>✔ OK</v>
      </c>
    </row>
    <row r="999" spans="1:12" x14ac:dyDescent="0.3">
      <c r="A999" t="s">
        <v>1442</v>
      </c>
      <c r="B999" t="s">
        <v>298</v>
      </c>
      <c r="C999" t="str">
        <f>IF(SessionMovements[[#This Row],[MovementID]]="","",
   _xlfn.XLOOKUP(SessionMovements[[#This Row],[MovementID]],MovementLibrary[MovementID],MovementLibrary[Name],"")
)</f>
        <v>Back Squat</v>
      </c>
      <c r="D999" s="5" t="str">
        <f>IF(SessionMovements[[#This Row],[MovementID]]="","",
   _xlfn.XLOOKUP(SessionMovements[[#This Row],[MovementID]], MovementLibrary[MovementID], MovementLibrary[Modality], "")
)</f>
        <v>Barbell</v>
      </c>
      <c r="E999" s="5" t="str">
        <f>IF(SessionMovements[[#This Row],[MovementID]]="","",
   _xlfn.XLOOKUP(SessionMovements[[#This Row],[MovementID]], MovementLibrary[MovementID], MovementLibrary[Unit], "")
)</f>
        <v>kg</v>
      </c>
      <c r="F9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999">
        <v>3</v>
      </c>
      <c r="H999">
        <v>2</v>
      </c>
      <c r="J999">
        <v>60</v>
      </c>
      <c r="L999" s="5" t="str">
        <f>IF(COUNTIF(Sessions[SessionID],SessionMovements[[#This Row],[SessionID]])=0,"❌ Missing","✔ OK")</f>
        <v>✔ OK</v>
      </c>
    </row>
    <row r="1000" spans="1:12" x14ac:dyDescent="0.3">
      <c r="A1000" t="s">
        <v>1443</v>
      </c>
      <c r="B1000" t="s">
        <v>1465</v>
      </c>
      <c r="C1000" t="str">
        <f>IF(SessionMovements[[#This Row],[MovementID]]="","",
   _xlfn.XLOOKUP(SessionMovements[[#This Row],[MovementID]],MovementLibrary[MovementID],MovementLibrary[Name],"")
)</f>
        <v>Clean Grip OHS</v>
      </c>
      <c r="D1000" s="5" t="str">
        <f>IF(SessionMovements[[#This Row],[MovementID]]="","",
   _xlfn.XLOOKUP(SessionMovements[[#This Row],[MovementID]], MovementLibrary[MovementID], MovementLibrary[Modality], "")
)</f>
        <v>Barbell</v>
      </c>
      <c r="E1000" s="5" t="str">
        <f>IF(SessionMovements[[#This Row],[MovementID]]="","",
   _xlfn.XLOOKUP(SessionMovements[[#This Row],[MovementID]], MovementLibrary[MovementID], MovementLibrary[Unit], "")
)</f>
        <v>kg</v>
      </c>
      <c r="F10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0">
        <v>3</v>
      </c>
      <c r="H1000">
        <v>2</v>
      </c>
      <c r="J1000">
        <v>60</v>
      </c>
      <c r="L1000" s="5" t="str">
        <f>IF(COUNTIF(Sessions[SessionID],SessionMovements[[#This Row],[SessionID]])=0,"❌ Missing","✔ OK")</f>
        <v>✔ OK</v>
      </c>
    </row>
    <row r="1001" spans="1:12" x14ac:dyDescent="0.3">
      <c r="A1001" t="s">
        <v>1444</v>
      </c>
      <c r="B1001" t="s">
        <v>298</v>
      </c>
      <c r="C1001" t="str">
        <f>IF(SessionMovements[[#This Row],[MovementID]]="","",
   _xlfn.XLOOKUP(SessionMovements[[#This Row],[MovementID]],MovementLibrary[MovementID],MovementLibrary[Name],"")
)</f>
        <v>Back Squat</v>
      </c>
      <c r="D1001" s="5" t="str">
        <f>IF(SessionMovements[[#This Row],[MovementID]]="","",
   _xlfn.XLOOKUP(SessionMovements[[#This Row],[MovementID]], MovementLibrary[MovementID], MovementLibrary[Modality], "")
)</f>
        <v>Barbell</v>
      </c>
      <c r="E1001" s="5" t="str">
        <f>IF(SessionMovements[[#This Row],[MovementID]]="","",
   _xlfn.XLOOKUP(SessionMovements[[#This Row],[MovementID]], MovementLibrary[MovementID], MovementLibrary[Unit], "")
)</f>
        <v>kg</v>
      </c>
      <c r="F10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1">
        <v>4</v>
      </c>
      <c r="H1001">
        <v>4</v>
      </c>
      <c r="J1001">
        <v>81</v>
      </c>
      <c r="L1001" s="5" t="str">
        <f>IF(COUNTIF(Sessions[SessionID],SessionMovements[[#This Row],[SessionID]])=0,"❌ Missing","✔ OK")</f>
        <v>✔ OK</v>
      </c>
    </row>
    <row r="1002" spans="1:12" x14ac:dyDescent="0.3">
      <c r="A1002" t="s">
        <v>1445</v>
      </c>
      <c r="B1002" t="s">
        <v>1465</v>
      </c>
      <c r="C1002" t="str">
        <f>IF(SessionMovements[[#This Row],[MovementID]]="","",
   _xlfn.XLOOKUP(SessionMovements[[#This Row],[MovementID]],MovementLibrary[MovementID],MovementLibrary[Name],"")
)</f>
        <v>Clean Grip OHS</v>
      </c>
      <c r="D1002" s="5" t="str">
        <f>IF(SessionMovements[[#This Row],[MovementID]]="","",
   _xlfn.XLOOKUP(SessionMovements[[#This Row],[MovementID]], MovementLibrary[MovementID], MovementLibrary[Modality], "")
)</f>
        <v>Barbell</v>
      </c>
      <c r="E1002" s="5" t="str">
        <f>IF(SessionMovements[[#This Row],[MovementID]]="","",
   _xlfn.XLOOKUP(SessionMovements[[#This Row],[MovementID]], MovementLibrary[MovementID], MovementLibrary[Unit], "")
)</f>
        <v>kg</v>
      </c>
      <c r="F10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2">
        <v>3</v>
      </c>
      <c r="H1002">
        <v>2</v>
      </c>
      <c r="J1002">
        <v>60</v>
      </c>
      <c r="L1002" s="5" t="str">
        <f>IF(COUNTIF(Sessions[SessionID],SessionMovements[[#This Row],[SessionID]])=0,"❌ Missing","✔ OK")</f>
        <v>✔ OK</v>
      </c>
    </row>
    <row r="1003" spans="1:12" x14ac:dyDescent="0.3">
      <c r="A1003" t="s">
        <v>1446</v>
      </c>
      <c r="B1003" t="s">
        <v>1465</v>
      </c>
      <c r="C1003" t="str">
        <f>IF(SessionMovements[[#This Row],[MovementID]]="","",
   _xlfn.XLOOKUP(SessionMovements[[#This Row],[MovementID]],MovementLibrary[MovementID],MovementLibrary[Name],"")
)</f>
        <v>Clean Grip OHS</v>
      </c>
      <c r="D1003" s="5" t="str">
        <f>IF(SessionMovements[[#This Row],[MovementID]]="","",
   _xlfn.XLOOKUP(SessionMovements[[#This Row],[MovementID]], MovementLibrary[MovementID], MovementLibrary[Modality], "")
)</f>
        <v>Barbell</v>
      </c>
      <c r="E1003" s="5" t="str">
        <f>IF(SessionMovements[[#This Row],[MovementID]]="","",
   _xlfn.XLOOKUP(SessionMovements[[#This Row],[MovementID]], MovementLibrary[MovementID], MovementLibrary[Unit], "")
)</f>
        <v>kg</v>
      </c>
      <c r="F10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3">
        <v>3</v>
      </c>
      <c r="H1003">
        <v>2</v>
      </c>
      <c r="J1003">
        <v>70</v>
      </c>
      <c r="L1003" s="5" t="str">
        <f>IF(COUNTIF(Sessions[SessionID],SessionMovements[[#This Row],[SessionID]])=0,"❌ Missing","✔ OK")</f>
        <v>✔ OK</v>
      </c>
    </row>
    <row r="1004" spans="1:12" x14ac:dyDescent="0.3">
      <c r="A1004" t="s">
        <v>1447</v>
      </c>
      <c r="B1004" t="s">
        <v>1465</v>
      </c>
      <c r="C1004" t="str">
        <f>IF(SessionMovements[[#This Row],[MovementID]]="","",
   _xlfn.XLOOKUP(SessionMovements[[#This Row],[MovementID]],MovementLibrary[MovementID],MovementLibrary[Name],"")
)</f>
        <v>Clean Grip OHS</v>
      </c>
      <c r="D1004" s="5" t="str">
        <f>IF(SessionMovements[[#This Row],[MovementID]]="","",
   _xlfn.XLOOKUP(SessionMovements[[#This Row],[MovementID]], MovementLibrary[MovementID], MovementLibrary[Modality], "")
)</f>
        <v>Barbell</v>
      </c>
      <c r="E1004" s="5" t="str">
        <f>IF(SessionMovements[[#This Row],[MovementID]]="","",
   _xlfn.XLOOKUP(SessionMovements[[#This Row],[MovementID]], MovementLibrary[MovementID], MovementLibrary[Unit], "")
)</f>
        <v>kg</v>
      </c>
      <c r="F10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4">
        <v>3</v>
      </c>
      <c r="H1004">
        <v>3</v>
      </c>
      <c r="J1004">
        <v>90</v>
      </c>
      <c r="L1004" s="5" t="str">
        <f>IF(COUNTIF(Sessions[SessionID],SessionMovements[[#This Row],[SessionID]])=0,"❌ Missing","✔ OK")</f>
        <v>✔ OK</v>
      </c>
    </row>
    <row r="1005" spans="1:12" x14ac:dyDescent="0.3">
      <c r="A1005" t="s">
        <v>1448</v>
      </c>
      <c r="B1005" t="s">
        <v>298</v>
      </c>
      <c r="C1005" t="str">
        <f>IF(SessionMovements[[#This Row],[MovementID]]="","",
   _xlfn.XLOOKUP(SessionMovements[[#This Row],[MovementID]],MovementLibrary[MovementID],MovementLibrary[Name],"")
)</f>
        <v>Back Squat</v>
      </c>
      <c r="D1005" s="5" t="str">
        <f>IF(SessionMovements[[#This Row],[MovementID]]="","",
   _xlfn.XLOOKUP(SessionMovements[[#This Row],[MovementID]], MovementLibrary[MovementID], MovementLibrary[Modality], "")
)</f>
        <v>Barbell</v>
      </c>
      <c r="E1005" s="5" t="str">
        <f>IF(SessionMovements[[#This Row],[MovementID]]="","",
   _xlfn.XLOOKUP(SessionMovements[[#This Row],[MovementID]], MovementLibrary[MovementID], MovementLibrary[Unit], "")
)</f>
        <v>kg</v>
      </c>
      <c r="F10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5">
        <v>3</v>
      </c>
      <c r="H1005">
        <v>2</v>
      </c>
      <c r="J1005">
        <v>60</v>
      </c>
      <c r="L1005" s="5" t="str">
        <f>IF(COUNTIF(Sessions[SessionID],SessionMovements[[#This Row],[SessionID]])=0,"❌ Missing","✔ OK")</f>
        <v>✔ OK</v>
      </c>
    </row>
    <row r="1006" spans="1:12" x14ac:dyDescent="0.3">
      <c r="A1006" t="s">
        <v>1449</v>
      </c>
      <c r="B1006" t="s">
        <v>1465</v>
      </c>
      <c r="C1006" t="str">
        <f>IF(SessionMovements[[#This Row],[MovementID]]="","",
   _xlfn.XLOOKUP(SessionMovements[[#This Row],[MovementID]],MovementLibrary[MovementID],MovementLibrary[Name],"")
)</f>
        <v>Clean Grip OHS</v>
      </c>
      <c r="D1006" s="5" t="str">
        <f>IF(SessionMovements[[#This Row],[MovementID]]="","",
   _xlfn.XLOOKUP(SessionMovements[[#This Row],[MovementID]], MovementLibrary[MovementID], MovementLibrary[Modality], "")
)</f>
        <v>Barbell</v>
      </c>
      <c r="E1006" s="5" t="str">
        <f>IF(SessionMovements[[#This Row],[MovementID]]="","",
   _xlfn.XLOOKUP(SessionMovements[[#This Row],[MovementID]], MovementLibrary[MovementID], MovementLibrary[Unit], "")
)</f>
        <v>kg</v>
      </c>
      <c r="F10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6">
        <v>3</v>
      </c>
      <c r="H1006">
        <v>2</v>
      </c>
      <c r="J1006">
        <v>60</v>
      </c>
      <c r="L1006" s="5" t="str">
        <f>IF(COUNTIF(Sessions[SessionID],SessionMovements[[#This Row],[SessionID]])=0,"❌ Missing","✔ OK")</f>
        <v>✔ OK</v>
      </c>
    </row>
    <row r="1007" spans="1:12" x14ac:dyDescent="0.3">
      <c r="A1007" t="s">
        <v>1450</v>
      </c>
      <c r="B1007" t="s">
        <v>298</v>
      </c>
      <c r="C1007" t="str">
        <f>IF(SessionMovements[[#This Row],[MovementID]]="","",
   _xlfn.XLOOKUP(SessionMovements[[#This Row],[MovementID]],MovementLibrary[MovementID],MovementLibrary[Name],"")
)</f>
        <v>Back Squat</v>
      </c>
      <c r="D1007" s="5" t="str">
        <f>IF(SessionMovements[[#This Row],[MovementID]]="","",
   _xlfn.XLOOKUP(SessionMovements[[#This Row],[MovementID]], MovementLibrary[MovementID], MovementLibrary[Modality], "")
)</f>
        <v>Barbell</v>
      </c>
      <c r="E1007" s="5" t="str">
        <f>IF(SessionMovements[[#This Row],[MovementID]]="","",
   _xlfn.XLOOKUP(SessionMovements[[#This Row],[MovementID]], MovementLibrary[MovementID], MovementLibrary[Unit], "")
)</f>
        <v>kg</v>
      </c>
      <c r="F10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7">
        <v>3</v>
      </c>
      <c r="H1007">
        <v>3</v>
      </c>
      <c r="J1007">
        <v>84</v>
      </c>
      <c r="L1007" s="5" t="str">
        <f>IF(COUNTIF(Sessions[SessionID],SessionMovements[[#This Row],[SessionID]])=0,"❌ Missing","✔ OK")</f>
        <v>✔ OK</v>
      </c>
    </row>
    <row r="1008" spans="1:12" x14ac:dyDescent="0.3">
      <c r="A1008" t="s">
        <v>1451</v>
      </c>
      <c r="B1008" t="s">
        <v>1465</v>
      </c>
      <c r="C1008" t="str">
        <f>IF(SessionMovements[[#This Row],[MovementID]]="","",
   _xlfn.XLOOKUP(SessionMovements[[#This Row],[MovementID]],MovementLibrary[MovementID],MovementLibrary[Name],"")
)</f>
        <v>Clean Grip OHS</v>
      </c>
      <c r="D1008" s="5" t="str">
        <f>IF(SessionMovements[[#This Row],[MovementID]]="","",
   _xlfn.XLOOKUP(SessionMovements[[#This Row],[MovementID]], MovementLibrary[MovementID], MovementLibrary[Modality], "")
)</f>
        <v>Barbell</v>
      </c>
      <c r="E1008" s="5" t="str">
        <f>IF(SessionMovements[[#This Row],[MovementID]]="","",
   _xlfn.XLOOKUP(SessionMovements[[#This Row],[MovementID]], MovementLibrary[MovementID], MovementLibrary[Unit], "")
)</f>
        <v>kg</v>
      </c>
      <c r="F10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8">
        <v>3</v>
      </c>
      <c r="H1008">
        <v>2</v>
      </c>
      <c r="J1008">
        <v>60</v>
      </c>
      <c r="L1008" s="5" t="str">
        <f>IF(COUNTIF(Sessions[SessionID],SessionMovements[[#This Row],[SessionID]])=0,"❌ Missing","✔ OK")</f>
        <v>✔ OK</v>
      </c>
    </row>
    <row r="1009" spans="1:12" x14ac:dyDescent="0.3">
      <c r="A1009" t="s">
        <v>1452</v>
      </c>
      <c r="B1009" t="s">
        <v>1465</v>
      </c>
      <c r="C1009" t="str">
        <f>IF(SessionMovements[[#This Row],[MovementID]]="","",
   _xlfn.XLOOKUP(SessionMovements[[#This Row],[MovementID]],MovementLibrary[MovementID],MovementLibrary[Name],"")
)</f>
        <v>Clean Grip OHS</v>
      </c>
      <c r="D1009" s="5" t="str">
        <f>IF(SessionMovements[[#This Row],[MovementID]]="","",
   _xlfn.XLOOKUP(SessionMovements[[#This Row],[MovementID]], MovementLibrary[MovementID], MovementLibrary[Modality], "")
)</f>
        <v>Barbell</v>
      </c>
      <c r="E1009" s="5" t="str">
        <f>IF(SessionMovements[[#This Row],[MovementID]]="","",
   _xlfn.XLOOKUP(SessionMovements[[#This Row],[MovementID]], MovementLibrary[MovementID], MovementLibrary[Unit], "")
)</f>
        <v>kg</v>
      </c>
      <c r="F10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09">
        <v>3</v>
      </c>
      <c r="H1009">
        <v>2</v>
      </c>
      <c r="J1009">
        <v>70</v>
      </c>
      <c r="L1009" s="5" t="str">
        <f>IF(COUNTIF(Sessions[SessionID],SessionMovements[[#This Row],[SessionID]])=0,"❌ Missing","✔ OK")</f>
        <v>✔ OK</v>
      </c>
    </row>
    <row r="1010" spans="1:12" x14ac:dyDescent="0.3">
      <c r="A1010" t="s">
        <v>1453</v>
      </c>
      <c r="B1010" t="s">
        <v>1465</v>
      </c>
      <c r="C1010" t="str">
        <f>IF(SessionMovements[[#This Row],[MovementID]]="","",
   _xlfn.XLOOKUP(SessionMovements[[#This Row],[MovementID]],MovementLibrary[MovementID],MovementLibrary[Name],"")
)</f>
        <v>Clean Grip OHS</v>
      </c>
      <c r="D1010" s="5" t="str">
        <f>IF(SessionMovements[[#This Row],[MovementID]]="","",
   _xlfn.XLOOKUP(SessionMovements[[#This Row],[MovementID]], MovementLibrary[MovementID], MovementLibrary[Modality], "")
)</f>
        <v>Barbell</v>
      </c>
      <c r="E1010" s="5" t="str">
        <f>IF(SessionMovements[[#This Row],[MovementID]]="","",
   _xlfn.XLOOKUP(SessionMovements[[#This Row],[MovementID]], MovementLibrary[MovementID], MovementLibrary[Unit], "")
)</f>
        <v>kg</v>
      </c>
      <c r="F10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0">
        <v>2</v>
      </c>
      <c r="H1010">
        <v>2</v>
      </c>
      <c r="J1010">
        <v>95</v>
      </c>
      <c r="L1010" s="5" t="str">
        <f>IF(COUNTIF(Sessions[SessionID],SessionMovements[[#This Row],[SessionID]])=0,"❌ Missing","✔ OK")</f>
        <v>✔ OK</v>
      </c>
    </row>
    <row r="1011" spans="1:12" x14ac:dyDescent="0.3">
      <c r="A1011" t="s">
        <v>1454</v>
      </c>
      <c r="B1011" t="s">
        <v>298</v>
      </c>
      <c r="C1011" t="str">
        <f>IF(SessionMovements[[#This Row],[MovementID]]="","",
   _xlfn.XLOOKUP(SessionMovements[[#This Row],[MovementID]],MovementLibrary[MovementID],MovementLibrary[Name],"")
)</f>
        <v>Back Squat</v>
      </c>
      <c r="D1011" s="5" t="str">
        <f>IF(SessionMovements[[#This Row],[MovementID]]="","",
   _xlfn.XLOOKUP(SessionMovements[[#This Row],[MovementID]], MovementLibrary[MovementID], MovementLibrary[Modality], "")
)</f>
        <v>Barbell</v>
      </c>
      <c r="E1011" s="5" t="str">
        <f>IF(SessionMovements[[#This Row],[MovementID]]="","",
   _xlfn.XLOOKUP(SessionMovements[[#This Row],[MovementID]], MovementLibrary[MovementID], MovementLibrary[Unit], "")
)</f>
        <v>kg</v>
      </c>
      <c r="F10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1">
        <v>3</v>
      </c>
      <c r="H1011">
        <v>2</v>
      </c>
      <c r="J1011">
        <v>60</v>
      </c>
      <c r="L1011" s="5" t="str">
        <f>IF(COUNTIF(Sessions[SessionID],SessionMovements[[#This Row],[SessionID]])=0,"❌ Missing","✔ OK")</f>
        <v>✔ OK</v>
      </c>
    </row>
    <row r="1012" spans="1:12" x14ac:dyDescent="0.3">
      <c r="A1012" t="s">
        <v>1455</v>
      </c>
      <c r="B1012" t="s">
        <v>1465</v>
      </c>
      <c r="C1012" t="str">
        <f>IF(SessionMovements[[#This Row],[MovementID]]="","",
   _xlfn.XLOOKUP(SessionMovements[[#This Row],[MovementID]],MovementLibrary[MovementID],MovementLibrary[Name],"")
)</f>
        <v>Clean Grip OHS</v>
      </c>
      <c r="D1012" s="5" t="str">
        <f>IF(SessionMovements[[#This Row],[MovementID]]="","",
   _xlfn.XLOOKUP(SessionMovements[[#This Row],[MovementID]], MovementLibrary[MovementID], MovementLibrary[Modality], "")
)</f>
        <v>Barbell</v>
      </c>
      <c r="E1012" s="5" t="str">
        <f>IF(SessionMovements[[#This Row],[MovementID]]="","",
   _xlfn.XLOOKUP(SessionMovements[[#This Row],[MovementID]], MovementLibrary[MovementID], MovementLibrary[Unit], "")
)</f>
        <v>kg</v>
      </c>
      <c r="F10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2">
        <v>2</v>
      </c>
      <c r="H1012">
        <v>2</v>
      </c>
      <c r="J1012">
        <v>87</v>
      </c>
      <c r="L1012" s="5" t="str">
        <f>IF(COUNTIF(Sessions[SessionID],SessionMovements[[#This Row],[SessionID]])=0,"❌ Missing","✔ OK")</f>
        <v>✔ OK</v>
      </c>
    </row>
    <row r="1013" spans="1:12" x14ac:dyDescent="0.3">
      <c r="A1013" t="s">
        <v>1456</v>
      </c>
      <c r="B1013" t="s">
        <v>298</v>
      </c>
      <c r="C1013" t="str">
        <f>IF(SessionMovements[[#This Row],[MovementID]]="","",
   _xlfn.XLOOKUP(SessionMovements[[#This Row],[MovementID]],MovementLibrary[MovementID],MovementLibrary[Name],"")
)</f>
        <v>Back Squat</v>
      </c>
      <c r="D1013" s="5" t="str">
        <f>IF(SessionMovements[[#This Row],[MovementID]]="","",
   _xlfn.XLOOKUP(SessionMovements[[#This Row],[MovementID]], MovementLibrary[MovementID], MovementLibrary[Modality], "")
)</f>
        <v>Barbell</v>
      </c>
      <c r="E1013" s="5" t="str">
        <f>IF(SessionMovements[[#This Row],[MovementID]]="","",
   _xlfn.XLOOKUP(SessionMovements[[#This Row],[MovementID]], MovementLibrary[MovementID], MovementLibrary[Unit], "")
)</f>
        <v>kg</v>
      </c>
      <c r="F10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3">
        <v>3</v>
      </c>
      <c r="H1013">
        <v>2</v>
      </c>
      <c r="J1013">
        <v>60</v>
      </c>
      <c r="L1013" s="5" t="str">
        <f>IF(COUNTIF(Sessions[SessionID],SessionMovements[[#This Row],[SessionID]])=0,"❌ Missing","✔ OK")</f>
        <v>✔ OK</v>
      </c>
    </row>
    <row r="1014" spans="1:12" x14ac:dyDescent="0.3">
      <c r="A1014" t="s">
        <v>1457</v>
      </c>
      <c r="B1014" t="s">
        <v>1465</v>
      </c>
      <c r="C1014" t="str">
        <f>IF(SessionMovements[[#This Row],[MovementID]]="","",
   _xlfn.XLOOKUP(SessionMovements[[#This Row],[MovementID]],MovementLibrary[MovementID],MovementLibrary[Name],"")
)</f>
        <v>Clean Grip OHS</v>
      </c>
      <c r="D1014" s="5" t="str">
        <f>IF(SessionMovements[[#This Row],[MovementID]]="","",
   _xlfn.XLOOKUP(SessionMovements[[#This Row],[MovementID]], MovementLibrary[MovementID], MovementLibrary[Modality], "")
)</f>
        <v>Barbell</v>
      </c>
      <c r="E1014" s="5" t="str">
        <f>IF(SessionMovements[[#This Row],[MovementID]]="","",
   _xlfn.XLOOKUP(SessionMovements[[#This Row],[MovementID]], MovementLibrary[MovementID], MovementLibrary[Unit], "")
)</f>
        <v>kg</v>
      </c>
      <c r="F10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4">
        <v>3</v>
      </c>
      <c r="H1014">
        <v>2</v>
      </c>
      <c r="J1014">
        <v>60</v>
      </c>
      <c r="L1014" s="5" t="str">
        <f>IF(COUNTIF(Sessions[SessionID],SessionMovements[[#This Row],[SessionID]])=0,"❌ Missing","✔ OK")</f>
        <v>✔ OK</v>
      </c>
    </row>
    <row r="1015" spans="1:12" x14ac:dyDescent="0.3">
      <c r="A1015" t="s">
        <v>1458</v>
      </c>
      <c r="B1015" t="s">
        <v>1465</v>
      </c>
      <c r="C1015" t="str">
        <f>IF(SessionMovements[[#This Row],[MovementID]]="","",
   _xlfn.XLOOKUP(SessionMovements[[#This Row],[MovementID]],MovementLibrary[MovementID],MovementLibrary[Name],"")
)</f>
        <v>Clean Grip OHS</v>
      </c>
      <c r="D1015" s="5" t="str">
        <f>IF(SessionMovements[[#This Row],[MovementID]]="","",
   _xlfn.XLOOKUP(SessionMovements[[#This Row],[MovementID]], MovementLibrary[MovementID], MovementLibrary[Modality], "")
)</f>
        <v>Barbell</v>
      </c>
      <c r="E1015" s="5" t="str">
        <f>IF(SessionMovements[[#This Row],[MovementID]]="","",
   _xlfn.XLOOKUP(SessionMovements[[#This Row],[MovementID]], MovementLibrary[MovementID], MovementLibrary[Unit], "")
)</f>
        <v>kg</v>
      </c>
      <c r="F10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5">
        <v>3</v>
      </c>
      <c r="H1015">
        <v>2</v>
      </c>
      <c r="J1015">
        <v>70</v>
      </c>
      <c r="L1015" s="5" t="str">
        <f>IF(COUNTIF(Sessions[SessionID],SessionMovements[[#This Row],[SessionID]])=0,"❌ Missing","✔ OK")</f>
        <v>✔ OK</v>
      </c>
    </row>
    <row r="1016" spans="1:12" x14ac:dyDescent="0.3">
      <c r="A1016" t="s">
        <v>1459</v>
      </c>
      <c r="B1016" t="s">
        <v>1465</v>
      </c>
      <c r="C1016" t="str">
        <f>IF(SessionMovements[[#This Row],[MovementID]]="","",
   _xlfn.XLOOKUP(SessionMovements[[#This Row],[MovementID]],MovementLibrary[MovementID],MovementLibrary[Name],"")
)</f>
        <v>Clean Grip OHS</v>
      </c>
      <c r="D1016" s="5" t="str">
        <f>IF(SessionMovements[[#This Row],[MovementID]]="","",
   _xlfn.XLOOKUP(SessionMovements[[#This Row],[MovementID]], MovementLibrary[MovementID], MovementLibrary[Modality], "")
)</f>
        <v>Barbell</v>
      </c>
      <c r="E1016" s="5" t="str">
        <f>IF(SessionMovements[[#This Row],[MovementID]]="","",
   _xlfn.XLOOKUP(SessionMovements[[#This Row],[MovementID]], MovementLibrary[MovementID], MovementLibrary[Unit], "")
)</f>
        <v>kg</v>
      </c>
      <c r="F10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6">
        <v>2</v>
      </c>
      <c r="H1016">
        <v>2</v>
      </c>
      <c r="J1016">
        <v>50</v>
      </c>
      <c r="L1016" s="5" t="str">
        <f>IF(COUNTIF(Sessions[SessionID],SessionMovements[[#This Row],[SessionID]])=0,"❌ Missing","✔ OK")</f>
        <v>✔ OK</v>
      </c>
    </row>
    <row r="1017" spans="1:12" x14ac:dyDescent="0.3">
      <c r="A1017" t="s">
        <v>1460</v>
      </c>
      <c r="B1017" t="s">
        <v>298</v>
      </c>
      <c r="C1017" t="str">
        <f>IF(SessionMovements[[#This Row],[MovementID]]="","",
   _xlfn.XLOOKUP(SessionMovements[[#This Row],[MovementID]],MovementLibrary[MovementID],MovementLibrary[Name],"")
)</f>
        <v>Back Squat</v>
      </c>
      <c r="D1017" s="5" t="str">
        <f>IF(SessionMovements[[#This Row],[MovementID]]="","",
   _xlfn.XLOOKUP(SessionMovements[[#This Row],[MovementID]], MovementLibrary[MovementID], MovementLibrary[Modality], "")
)</f>
        <v>Barbell</v>
      </c>
      <c r="E1017" s="5" t="str">
        <f>IF(SessionMovements[[#This Row],[MovementID]]="","",
   _xlfn.XLOOKUP(SessionMovements[[#This Row],[MovementID]], MovementLibrary[MovementID], MovementLibrary[Unit], "")
)</f>
        <v>kg</v>
      </c>
      <c r="F10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1017" t="s">
        <v>1054</v>
      </c>
      <c r="L1017" s="5" t="str">
        <f>IF(COUNTIF(Sessions[SessionID],SessionMovements[[#This Row],[SessionID]])=0,"❌ Missing","✔ OK")</f>
        <v>✔ OK</v>
      </c>
    </row>
    <row r="1018" spans="1:12" x14ac:dyDescent="0.3">
      <c r="A1018" t="s">
        <v>1461</v>
      </c>
      <c r="B1018" t="s">
        <v>1465</v>
      </c>
      <c r="C1018" t="str">
        <f>IF(SessionMovements[[#This Row],[MovementID]]="","",
   _xlfn.XLOOKUP(SessionMovements[[#This Row],[MovementID]],MovementLibrary[MovementID],MovementLibrary[Name],"")
)</f>
        <v>Clean Grip OHS</v>
      </c>
      <c r="D1018" s="5" t="str">
        <f>IF(SessionMovements[[#This Row],[MovementID]]="","",
   _xlfn.XLOOKUP(SessionMovements[[#This Row],[MovementID]], MovementLibrary[MovementID], MovementLibrary[Modality], "")
)</f>
        <v>Barbell</v>
      </c>
      <c r="E1018" s="5" t="str">
        <f>IF(SessionMovements[[#This Row],[MovementID]]="","",
   _xlfn.XLOOKUP(SessionMovements[[#This Row],[MovementID]], MovementLibrary[MovementID], MovementLibrary[Unit], "")
)</f>
        <v>kg</v>
      </c>
      <c r="F10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8">
        <v>2</v>
      </c>
      <c r="H1018">
        <v>2</v>
      </c>
      <c r="J1018">
        <v>60</v>
      </c>
      <c r="L1018" s="5" t="str">
        <f>IF(COUNTIF(Sessions[SessionID],SessionMovements[[#This Row],[SessionID]])=0,"❌ Missing","✔ OK")</f>
        <v>✔ OK</v>
      </c>
    </row>
    <row r="1019" spans="1:12" x14ac:dyDescent="0.3">
      <c r="A1019" t="s">
        <v>1462</v>
      </c>
      <c r="B1019" t="s">
        <v>298</v>
      </c>
      <c r="C1019" t="str">
        <f>IF(SessionMovements[[#This Row],[MovementID]]="","",
   _xlfn.XLOOKUP(SessionMovements[[#This Row],[MovementID]],MovementLibrary[MovementID],MovementLibrary[Name],"")
)</f>
        <v>Back Squat</v>
      </c>
      <c r="D1019" s="5" t="str">
        <f>IF(SessionMovements[[#This Row],[MovementID]]="","",
   _xlfn.XLOOKUP(SessionMovements[[#This Row],[MovementID]], MovementLibrary[MovementID], MovementLibrary[Modality], "")
)</f>
        <v>Barbell</v>
      </c>
      <c r="E1019" s="5" t="str">
        <f>IF(SessionMovements[[#This Row],[MovementID]]="","",
   _xlfn.XLOOKUP(SessionMovements[[#This Row],[MovementID]], MovementLibrary[MovementID], MovementLibrary[Unit], "")
)</f>
        <v>kg</v>
      </c>
      <c r="F10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19">
        <v>2</v>
      </c>
      <c r="H1019">
        <v>1</v>
      </c>
      <c r="J1019">
        <v>60</v>
      </c>
      <c r="L1019" s="5" t="str">
        <f>IF(COUNTIF(Sessions[SessionID],SessionMovements[[#This Row],[SessionID]])=0,"❌ Missing","✔ OK")</f>
        <v>✔ OK</v>
      </c>
    </row>
    <row r="1020" spans="1:12" x14ac:dyDescent="0.3">
      <c r="A1020" t="s">
        <v>1463</v>
      </c>
      <c r="B1020" t="s">
        <v>1465</v>
      </c>
      <c r="C1020" t="str">
        <f>IF(SessionMovements[[#This Row],[MovementID]]="","",
   _xlfn.XLOOKUP(SessionMovements[[#This Row],[MovementID]],MovementLibrary[MovementID],MovementLibrary[Name],"")
)</f>
        <v>Clean Grip OHS</v>
      </c>
      <c r="D1020" s="5" t="str">
        <f>IF(SessionMovements[[#This Row],[MovementID]]="","",
   _xlfn.XLOOKUP(SessionMovements[[#This Row],[MovementID]], MovementLibrary[MovementID], MovementLibrary[Modality], "")
)</f>
        <v>Barbell</v>
      </c>
      <c r="E1020" s="5" t="str">
        <f>IF(SessionMovements[[#This Row],[MovementID]]="","",
   _xlfn.XLOOKUP(SessionMovements[[#This Row],[MovementID]], MovementLibrary[MovementID], MovementLibrary[Unit], "")
)</f>
        <v>kg</v>
      </c>
      <c r="F10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0">
        <v>3</v>
      </c>
      <c r="H1020">
        <v>1</v>
      </c>
      <c r="J1020">
        <v>50</v>
      </c>
      <c r="L1020" s="5" t="str">
        <f>IF(COUNTIF(Sessions[SessionID],SessionMovements[[#This Row],[SessionID]])=0,"❌ Missing","✔ OK")</f>
        <v>✔ OK</v>
      </c>
    </row>
    <row r="1021" spans="1:12" x14ac:dyDescent="0.3">
      <c r="A1021" t="s">
        <v>1464</v>
      </c>
      <c r="B1021" t="s">
        <v>1465</v>
      </c>
      <c r="C1021" t="str">
        <f>IF(SessionMovements[[#This Row],[MovementID]]="","",
   _xlfn.XLOOKUP(SessionMovements[[#This Row],[MovementID]],MovementLibrary[MovementID],MovementLibrary[Name],"")
)</f>
        <v>Clean Grip OHS</v>
      </c>
      <c r="D1021" s="5" t="str">
        <f>IF(SessionMovements[[#This Row],[MovementID]]="","",
   _xlfn.XLOOKUP(SessionMovements[[#This Row],[MovementID]], MovementLibrary[MovementID], MovementLibrary[Modality], "")
)</f>
        <v>Barbell</v>
      </c>
      <c r="E1021" s="5" t="str">
        <f>IF(SessionMovements[[#This Row],[MovementID]]="","",
   _xlfn.XLOOKUP(SessionMovements[[#This Row],[MovementID]], MovementLibrary[MovementID], MovementLibrary[Unit], "")
)</f>
        <v>kg</v>
      </c>
      <c r="F10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K1021" t="s">
        <v>1054</v>
      </c>
      <c r="L1021" s="5" t="str">
        <f>IF(COUNTIF(Sessions[SessionID],SessionMovements[[#This Row],[SessionID]])=0,"❌ Missing","✔ OK")</f>
        <v>✔ OK</v>
      </c>
    </row>
    <row r="1022" spans="1:12" x14ac:dyDescent="0.3">
      <c r="A1022" t="s">
        <v>1502</v>
      </c>
      <c r="B1022" t="s">
        <v>1483</v>
      </c>
      <c r="C1022" t="str">
        <f>IF(SessionMovements[[#This Row],[MovementID]]="","",
   _xlfn.XLOOKUP(SessionMovements[[#This Row],[MovementID]],MovementLibrary[MovementID],MovementLibrary[Name],"")
)</f>
        <v>Tibialis Raise</v>
      </c>
      <c r="D1022" s="5" t="str">
        <f>IF(SessionMovements[[#This Row],[MovementID]]="","",
   _xlfn.XLOOKUP(SessionMovements[[#This Row],[MovementID]], MovementLibrary[MovementID], MovementLibrary[Modality], "")
)</f>
        <v>Bodyweight</v>
      </c>
      <c r="E1022" s="5" t="str">
        <f>IF(SessionMovements[[#This Row],[MovementID]]="","",
   _xlfn.XLOOKUP(SessionMovements[[#This Row],[MovementID]], MovementLibrary[MovementID], MovementLibrary[Unit], "")
)</f>
        <v>reps</v>
      </c>
      <c r="F10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2">
        <v>3</v>
      </c>
      <c r="H1022">
        <v>25</v>
      </c>
      <c r="L1022" s="5" t="str">
        <f>IF(COUNTIF(Sessions[SessionID],SessionMovements[[#This Row],[SessionID]])=0,"❌ Missing","✔ OK")</f>
        <v>✔ OK</v>
      </c>
    </row>
    <row r="1023" spans="1:12" x14ac:dyDescent="0.3">
      <c r="A1023" t="s">
        <v>1502</v>
      </c>
      <c r="B1023" t="s">
        <v>1485</v>
      </c>
      <c r="C1023" t="str">
        <f>IF(SessionMovements[[#This Row],[MovementID]]="","",
   _xlfn.XLOOKUP(SessionMovements[[#This Row],[MovementID]],MovementLibrary[MovementID],MovementLibrary[Name],"")
)</f>
        <v>ATG Split Squat</v>
      </c>
      <c r="D1023" s="5" t="str">
        <f>IF(SessionMovements[[#This Row],[MovementID]]="","",
   _xlfn.XLOOKUP(SessionMovements[[#This Row],[MovementID]], MovementLibrary[MovementID], MovementLibrary[Modality], "")
)</f>
        <v>Bodyweight</v>
      </c>
      <c r="E1023" s="5" t="str">
        <f>IF(SessionMovements[[#This Row],[MovementID]]="","",
   _xlfn.XLOOKUP(SessionMovements[[#This Row],[MovementID]], MovementLibrary[MovementID], MovementLibrary[Unit], "")
)</f>
        <v>kg</v>
      </c>
      <c r="F10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3">
        <v>5</v>
      </c>
      <c r="H1023">
        <v>5</v>
      </c>
      <c r="K1023" t="s">
        <v>1505</v>
      </c>
      <c r="L1023" s="5" t="str">
        <f>IF(COUNTIF(Sessions[SessionID],SessionMovements[[#This Row],[SessionID]])=0,"❌ Missing","✔ OK")</f>
        <v>✔ OK</v>
      </c>
    </row>
    <row r="1024" spans="1:12" x14ac:dyDescent="0.3">
      <c r="A1024" t="s">
        <v>1502</v>
      </c>
      <c r="B1024" t="s">
        <v>1489</v>
      </c>
      <c r="C1024" t="str">
        <f>IF(SessionMovements[[#This Row],[MovementID]]="","",
   _xlfn.XLOOKUP(SessionMovements[[#This Row],[MovementID]],MovementLibrary[MovementID],MovementLibrary[Name],"")
)</f>
        <v>Sotts Press</v>
      </c>
      <c r="D1024" s="5" t="str">
        <f>IF(SessionMovements[[#This Row],[MovementID]]="","",
   _xlfn.XLOOKUP(SessionMovements[[#This Row],[MovementID]], MovementLibrary[MovementID], MovementLibrary[Modality], "")
)</f>
        <v>Barbell</v>
      </c>
      <c r="E1024" s="5" t="str">
        <f>IF(SessionMovements[[#This Row],[MovementID]]="","",
   _xlfn.XLOOKUP(SessionMovements[[#This Row],[MovementID]], MovementLibrary[MovementID], MovementLibrary[Unit], "")
)</f>
        <v>kg</v>
      </c>
      <c r="F10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4">
        <v>3</v>
      </c>
      <c r="H1024">
        <v>8</v>
      </c>
      <c r="K1024" t="s">
        <v>1552</v>
      </c>
      <c r="L1024" s="5" t="str">
        <f>IF(COUNTIF(Sessions[SessionID],SessionMovements[[#This Row],[SessionID]])=0,"❌ Missing","✔ OK")</f>
        <v>✔ OK</v>
      </c>
    </row>
    <row r="1025" spans="1:12" x14ac:dyDescent="0.3">
      <c r="A1025" t="s">
        <v>1502</v>
      </c>
      <c r="B1025" t="s">
        <v>1503</v>
      </c>
      <c r="C1025" t="str">
        <f>IF(SessionMovements[[#This Row],[MovementID]]="","",
   _xlfn.XLOOKUP(SessionMovements[[#This Row],[MovementID]],MovementLibrary[MovementID],MovementLibrary[Name],"")
)</f>
        <v>Pistol Squat Neg</v>
      </c>
      <c r="D1025" s="5" t="str">
        <f>IF(SessionMovements[[#This Row],[MovementID]]="","",
   _xlfn.XLOOKUP(SessionMovements[[#This Row],[MovementID]], MovementLibrary[MovementID], MovementLibrary[Modality], "")
)</f>
        <v>Bodyweight</v>
      </c>
      <c r="E1025" s="5" t="str">
        <f>IF(SessionMovements[[#This Row],[MovementID]]="","",
   _xlfn.XLOOKUP(SessionMovements[[#This Row],[MovementID]], MovementLibrary[MovementID], MovementLibrary[Unit], "")
)</f>
        <v>reps</v>
      </c>
      <c r="F10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5">
        <v>3</v>
      </c>
      <c r="H1025">
        <v>5</v>
      </c>
      <c r="K1025" t="s">
        <v>1550</v>
      </c>
      <c r="L1025" s="5" t="str">
        <f>IF(COUNTIF(Sessions[SessionID],SessionMovements[[#This Row],[SessionID]])=0,"❌ Missing","✔ OK")</f>
        <v>✔ OK</v>
      </c>
    </row>
    <row r="1026" spans="1:12" x14ac:dyDescent="0.3">
      <c r="A1026" t="s">
        <v>1516</v>
      </c>
      <c r="B1026" t="s">
        <v>1487</v>
      </c>
      <c r="C1026" t="str">
        <f>IF(SessionMovements[[#This Row],[MovementID]]="","",
   _xlfn.XLOOKUP(SessionMovements[[#This Row],[MovementID]],MovementLibrary[MovementID],MovementLibrary[Name],"")
)</f>
        <v>Patrick Step</v>
      </c>
      <c r="D1026" s="5" t="str">
        <f>IF(SessionMovements[[#This Row],[MovementID]]="","",
   _xlfn.XLOOKUP(SessionMovements[[#This Row],[MovementID]], MovementLibrary[MovementID], MovementLibrary[Modality], "")
)</f>
        <v>Bodyweight</v>
      </c>
      <c r="E1026" s="5" t="str">
        <f>IF(SessionMovements[[#This Row],[MovementID]]="","",
   _xlfn.XLOOKUP(SessionMovements[[#This Row],[MovementID]], MovementLibrary[MovementID], MovementLibrary[Unit], "")
)</f>
        <v>reps</v>
      </c>
      <c r="F10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6">
        <v>3</v>
      </c>
      <c r="H1026">
        <v>25</v>
      </c>
      <c r="L1026" s="5" t="str">
        <f>IF(COUNTIF(Sessions[SessionID],SessionMovements[[#This Row],[SessionID]])=0,"❌ Missing","✔ OK")</f>
        <v>✔ OK</v>
      </c>
    </row>
    <row r="1027" spans="1:12" x14ac:dyDescent="0.3">
      <c r="A1027" t="s">
        <v>1516</v>
      </c>
      <c r="B1027" t="s">
        <v>262</v>
      </c>
      <c r="C1027" t="str">
        <f>IF(SessionMovements[[#This Row],[MovementID]]="","",
   _xlfn.XLOOKUP(SessionMovements[[#This Row],[MovementID]],MovementLibrary[MovementID],MovementLibrary[Name],"")
)</f>
        <v>Strict Press</v>
      </c>
      <c r="D1027" s="5" t="str">
        <f>IF(SessionMovements[[#This Row],[MovementID]]="","",
   _xlfn.XLOOKUP(SessionMovements[[#This Row],[MovementID]], MovementLibrary[MovementID], MovementLibrary[Modality], "")
)</f>
        <v>Barbell</v>
      </c>
      <c r="E1027" s="5" t="str">
        <f>IF(SessionMovements[[#This Row],[MovementID]]="","",
   _xlfn.XLOOKUP(SessionMovements[[#This Row],[MovementID]], MovementLibrary[MovementID], MovementLibrary[Unit], "")
)</f>
        <v>kg</v>
      </c>
      <c r="F10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7">
        <v>4</v>
      </c>
      <c r="H1027">
        <v>6</v>
      </c>
      <c r="L1027" s="5" t="str">
        <f>IF(COUNTIF(Sessions[SessionID],SessionMovements[[#This Row],[SessionID]])=0,"❌ Missing","✔ OK")</f>
        <v>✔ OK</v>
      </c>
    </row>
    <row r="1028" spans="1:12" x14ac:dyDescent="0.3">
      <c r="A1028" t="s">
        <v>1516</v>
      </c>
      <c r="B1028" t="s">
        <v>1507</v>
      </c>
      <c r="C1028" t="str">
        <f>IF(SessionMovements[[#This Row],[MovementID]]="","",
   _xlfn.XLOOKUP(SessionMovements[[#This Row],[MovementID]],MovementLibrary[MovementID],MovementLibrary[Name],"")
)</f>
        <v>Handstand Walk Taps</v>
      </c>
      <c r="D1028" s="5" t="str">
        <f>IF(SessionMovements[[#This Row],[MovementID]]="","",
   _xlfn.XLOOKUP(SessionMovements[[#This Row],[MovementID]], MovementLibrary[MovementID], MovementLibrary[Modality], "")
)</f>
        <v>Bodyweight</v>
      </c>
      <c r="E1028" s="5" t="str">
        <f>IF(SessionMovements[[#This Row],[MovementID]]="","",
   _xlfn.XLOOKUP(SessionMovements[[#This Row],[MovementID]], MovementLibrary[MovementID], MovementLibrary[Unit], "")
)</f>
        <v>reps</v>
      </c>
      <c r="F10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8">
        <v>3</v>
      </c>
      <c r="H1028">
        <v>20</v>
      </c>
      <c r="L1028" s="5" t="str">
        <f>IF(COUNTIF(Sessions[SessionID],SessionMovements[[#This Row],[SessionID]])=0,"❌ Missing","✔ OK")</f>
        <v>✔ OK</v>
      </c>
    </row>
    <row r="1029" spans="1:12" x14ac:dyDescent="0.3">
      <c r="A1029" t="s">
        <v>1516</v>
      </c>
      <c r="B1029" t="s">
        <v>1491</v>
      </c>
      <c r="C1029" t="str">
        <f>IF(SessionMovements[[#This Row],[MovementID]]="","",
   _xlfn.XLOOKUP(SessionMovements[[#This Row],[MovementID]],MovementLibrary[MovementID],MovementLibrary[Name],"")
)</f>
        <v>Jefferson Curl</v>
      </c>
      <c r="D1029" s="5" t="str">
        <f>IF(SessionMovements[[#This Row],[MovementID]]="","",
   _xlfn.XLOOKUP(SessionMovements[[#This Row],[MovementID]], MovementLibrary[MovementID], MovementLibrary[Modality], "")
)</f>
        <v>Barbell</v>
      </c>
      <c r="E1029" s="5" t="str">
        <f>IF(SessionMovements[[#This Row],[MovementID]]="","",
   _xlfn.XLOOKUP(SessionMovements[[#This Row],[MovementID]], MovementLibrary[MovementID], MovementLibrary[Unit], "")
)</f>
        <v>kg</v>
      </c>
      <c r="F10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29">
        <v>3</v>
      </c>
      <c r="H1029">
        <v>10</v>
      </c>
      <c r="K1029" t="s">
        <v>1548</v>
      </c>
      <c r="L1029" s="5" t="str">
        <f>IF(COUNTIF(Sessions[SessionID],SessionMovements[[#This Row],[SessionID]])=0,"❌ Missing","✔ OK")</f>
        <v>✔ OK</v>
      </c>
    </row>
    <row r="1030" spans="1:12" x14ac:dyDescent="0.3">
      <c r="A1030" t="s">
        <v>1511</v>
      </c>
      <c r="B1030" t="s">
        <v>527</v>
      </c>
      <c r="C1030" t="str">
        <f>IF(SessionMovements[[#This Row],[MovementID]]="","",
   _xlfn.XLOOKUP(SessionMovements[[#This Row],[MovementID]],MovementLibrary[MovementID],MovementLibrary[Name],"")
)</f>
        <v>L-Sit Hold</v>
      </c>
      <c r="D1030" s="5" t="str">
        <f>IF(SessionMovements[[#This Row],[MovementID]]="","",
   _xlfn.XLOOKUP(SessionMovements[[#This Row],[MovementID]], MovementLibrary[MovementID], MovementLibrary[Modality], "")
)</f>
        <v>Gymnastics</v>
      </c>
      <c r="E1030" s="5" t="str">
        <f>IF(SessionMovements[[#This Row],[MovementID]]="","",
   _xlfn.XLOOKUP(SessionMovements[[#This Row],[MovementID]], MovementLibrary[MovementID], MovementLibrary[Unit], "")
)</f>
        <v>sec</v>
      </c>
      <c r="F10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0">
        <v>3</v>
      </c>
      <c r="H1030">
        <v>30</v>
      </c>
      <c r="L1030" s="5" t="str">
        <f>IF(COUNTIF(Sessions[SessionID],SessionMovements[[#This Row],[SessionID]])=0,"❌ Missing","✔ OK")</f>
        <v>✔ OK</v>
      </c>
    </row>
    <row r="1031" spans="1:12" x14ac:dyDescent="0.3">
      <c r="A1031" t="s">
        <v>1511</v>
      </c>
      <c r="B1031" t="s">
        <v>1491</v>
      </c>
      <c r="C1031" t="str">
        <f>IF(SessionMovements[[#This Row],[MovementID]]="","",
   _xlfn.XLOOKUP(SessionMovements[[#This Row],[MovementID]],MovementLibrary[MovementID],MovementLibrary[Name],"")
)</f>
        <v>Jefferson Curl</v>
      </c>
      <c r="D1031" s="5" t="str">
        <f>IF(SessionMovements[[#This Row],[MovementID]]="","",
   _xlfn.XLOOKUP(SessionMovements[[#This Row],[MovementID]], MovementLibrary[MovementID], MovementLibrary[Modality], "")
)</f>
        <v>Barbell</v>
      </c>
      <c r="E1031" s="5" t="str">
        <f>IF(SessionMovements[[#This Row],[MovementID]]="","",
   _xlfn.XLOOKUP(SessionMovements[[#This Row],[MovementID]], MovementLibrary[MovementID], MovementLibrary[Unit], "")
)</f>
        <v>kg</v>
      </c>
      <c r="F10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1">
        <v>3</v>
      </c>
      <c r="H1031">
        <v>8</v>
      </c>
      <c r="K1031" t="s">
        <v>1548</v>
      </c>
      <c r="L1031" s="5" t="str">
        <f>IF(COUNTIF(Sessions[SessionID],SessionMovements[[#This Row],[SessionID]])=0,"❌ Missing","✔ OK")</f>
        <v>✔ OK</v>
      </c>
    </row>
    <row r="1032" spans="1:12" x14ac:dyDescent="0.3">
      <c r="A1032" t="s">
        <v>1511</v>
      </c>
      <c r="B1032" t="s">
        <v>1512</v>
      </c>
      <c r="C1032" t="str">
        <f>IF(SessionMovements[[#This Row],[MovementID]]="","",
   _xlfn.XLOOKUP(SessionMovements[[#This Row],[MovementID]],MovementLibrary[MovementID],MovementLibrary[Name],"")
)</f>
        <v>Strict Chest to Bar</v>
      </c>
      <c r="D1032" s="5" t="str">
        <f>IF(SessionMovements[[#This Row],[MovementID]]="","",
   _xlfn.XLOOKUP(SessionMovements[[#This Row],[MovementID]], MovementLibrary[MovementID], MovementLibrary[Modality], "")
)</f>
        <v>Bodyweight</v>
      </c>
      <c r="E1032" s="5" t="str">
        <f>IF(SessionMovements[[#This Row],[MovementID]]="","",
   _xlfn.XLOOKUP(SessionMovements[[#This Row],[MovementID]], MovementLibrary[MovementID], MovementLibrary[Unit], "")
)</f>
        <v>reps</v>
      </c>
      <c r="F10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2">
        <v>5</v>
      </c>
      <c r="H1032">
        <v>3</v>
      </c>
      <c r="L1032" s="5" t="str">
        <f>IF(COUNTIF(Sessions[SessionID],SessionMovements[[#This Row],[SessionID]])=0,"❌ Missing","✔ OK")</f>
        <v>✔ OK</v>
      </c>
    </row>
    <row r="1033" spans="1:12" x14ac:dyDescent="0.3">
      <c r="A1033" t="s">
        <v>1511</v>
      </c>
      <c r="B1033" t="s">
        <v>1555</v>
      </c>
      <c r="C1033" t="str">
        <f>IF(SessionMovements[[#This Row],[MovementID]]="","",
   _xlfn.XLOOKUP(SessionMovements[[#This Row],[MovementID]],MovementLibrary[MovementID],MovementLibrary[Name],"")
)</f>
        <v>Weighted Pec stretch</v>
      </c>
      <c r="D1033" s="5" t="str">
        <f>IF(SessionMovements[[#This Row],[MovementID]]="","",
   _xlfn.XLOOKUP(SessionMovements[[#This Row],[MovementID]], MovementLibrary[MovementID], MovementLibrary[Modality], "")
)</f>
        <v>Bodyweight</v>
      </c>
      <c r="E1033" s="5" t="str">
        <f>IF(SessionMovements[[#This Row],[MovementID]]="","",
   _xlfn.XLOOKUP(SessionMovements[[#This Row],[MovementID]], MovementLibrary[MovementID], MovementLibrary[Unit], "")
)</f>
        <v>kg</v>
      </c>
      <c r="F10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3">
        <v>3</v>
      </c>
      <c r="H1033">
        <v>90</v>
      </c>
      <c r="L1033" s="5" t="str">
        <f>IF(COUNTIF(Sessions[SessionID],SessionMovements[[#This Row],[SessionID]])=0,"❌ Missing","✔ OK")</f>
        <v>✔ OK</v>
      </c>
    </row>
    <row r="1034" spans="1:12" x14ac:dyDescent="0.3">
      <c r="A1034" t="s">
        <v>1517</v>
      </c>
      <c r="B1034" t="s">
        <v>1518</v>
      </c>
      <c r="C1034" t="str">
        <f>IF(SessionMovements[[#This Row],[MovementID]]="","",
   _xlfn.XLOOKUP(SessionMovements[[#This Row],[MovementID]],MovementLibrary[MovementID],MovementLibrary[Name],"")
)</f>
        <v>KOT Calf Rasiers</v>
      </c>
      <c r="D1034" s="5" t="str">
        <f>IF(SessionMovements[[#This Row],[MovementID]]="","",
   _xlfn.XLOOKUP(SessionMovements[[#This Row],[MovementID]], MovementLibrary[MovementID], MovementLibrary[Modality], "")
)</f>
        <v>Bodyweight</v>
      </c>
      <c r="E1034" s="5" t="str">
        <f>IF(SessionMovements[[#This Row],[MovementID]]="","",
   _xlfn.XLOOKUP(SessionMovements[[#This Row],[MovementID]], MovementLibrary[MovementID], MovementLibrary[Unit], "")
)</f>
        <v>kg</v>
      </c>
      <c r="F10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4">
        <v>3</v>
      </c>
      <c r="H1034">
        <v>20</v>
      </c>
      <c r="L1034" s="5" t="str">
        <f>IF(COUNTIF(Sessions[SessionID],SessionMovements[[#This Row],[SessionID]])=0,"❌ Missing","✔ OK")</f>
        <v>✔ OK</v>
      </c>
    </row>
    <row r="1035" spans="1:12" x14ac:dyDescent="0.3">
      <c r="A1035" t="s">
        <v>1517</v>
      </c>
      <c r="B1035" t="s">
        <v>651</v>
      </c>
      <c r="C1035" t="str">
        <f>IF(SessionMovements[[#This Row],[MovementID]]="","",
   _xlfn.XLOOKUP(SessionMovements[[#This Row],[MovementID]],MovementLibrary[MovementID],MovementLibrary[Name],"")
)</f>
        <v>Segmented Snatch Deadlift (1" + knee)</v>
      </c>
      <c r="D1035" s="5" t="str">
        <f>IF(SessionMovements[[#This Row],[MovementID]]="","",
   _xlfn.XLOOKUP(SessionMovements[[#This Row],[MovementID]], MovementLibrary[MovementID], MovementLibrary[Modality], "")
)</f>
        <v>Barbell</v>
      </c>
      <c r="E1035" s="5" t="str">
        <f>IF(SessionMovements[[#This Row],[MovementID]]="","",
   _xlfn.XLOOKUP(SessionMovements[[#This Row],[MovementID]], MovementLibrary[MovementID], MovementLibrary[Unit], "")
)</f>
        <v>kg</v>
      </c>
      <c r="F10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5">
        <v>5</v>
      </c>
      <c r="H1035">
        <v>3</v>
      </c>
      <c r="I1035">
        <v>50</v>
      </c>
      <c r="K1035" t="s">
        <v>1520</v>
      </c>
      <c r="L1035" s="5" t="str">
        <f>IF(COUNTIF(Sessions[SessionID],SessionMovements[[#This Row],[SessionID]])=0,"❌ Missing","✔ OK")</f>
        <v>✔ OK</v>
      </c>
    </row>
    <row r="1036" spans="1:12" x14ac:dyDescent="0.3">
      <c r="A1036" t="s">
        <v>1517</v>
      </c>
      <c r="B1036" t="s">
        <v>1557</v>
      </c>
      <c r="C1036" t="str">
        <f>IF(SessionMovements[[#This Row],[MovementID]]="","",
   _xlfn.XLOOKUP(SessionMovements[[#This Row],[MovementID]],MovementLibrary[MovementID],MovementLibrary[Name],"")
)</f>
        <v>Crow Pose</v>
      </c>
      <c r="D1036" s="5" t="str">
        <f>IF(SessionMovements[[#This Row],[MovementID]]="","",
   _xlfn.XLOOKUP(SessionMovements[[#This Row],[MovementID]], MovementLibrary[MovementID], MovementLibrary[Modality], "")
)</f>
        <v>Gymnastic</v>
      </c>
      <c r="E1036" s="5" t="str">
        <f>IF(SessionMovements[[#This Row],[MovementID]]="","",
   _xlfn.XLOOKUP(SessionMovements[[#This Row],[MovementID]], MovementLibrary[MovementID], MovementLibrary[Unit], "")
)</f>
        <v>sec</v>
      </c>
      <c r="F10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6">
        <v>4</v>
      </c>
      <c r="H1036">
        <v>45</v>
      </c>
      <c r="L1036" s="5" t="str">
        <f>IF(COUNTIF(Sessions[SessionID],SessionMovements[[#This Row],[SessionID]])=0,"❌ Missing","✔ OK")</f>
        <v>✔ OK</v>
      </c>
    </row>
    <row r="1037" spans="1:12" x14ac:dyDescent="0.3">
      <c r="A1037" t="s">
        <v>1517</v>
      </c>
      <c r="B1037" t="s">
        <v>530</v>
      </c>
      <c r="C1037" t="str">
        <f>IF(SessionMovements[[#This Row],[MovementID]]="","",
   _xlfn.XLOOKUP(SessionMovements[[#This Row],[MovementID]],MovementLibrary[MovementID],MovementLibrary[Name],"")
)</f>
        <v>Hollow Hold</v>
      </c>
      <c r="D1037" s="5" t="str">
        <f>IF(SessionMovements[[#This Row],[MovementID]]="","",
   _xlfn.XLOOKUP(SessionMovements[[#This Row],[MovementID]], MovementLibrary[MovementID], MovementLibrary[Modality], "")
)</f>
        <v>Gymnastics</v>
      </c>
      <c r="E1037" s="5" t="str">
        <f>IF(SessionMovements[[#This Row],[MovementID]]="","",
   _xlfn.XLOOKUP(SessionMovements[[#This Row],[MovementID]], MovementLibrary[MovementID], MovementLibrary[Unit], "")
)</f>
        <v>sec</v>
      </c>
      <c r="F10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7">
        <v>3</v>
      </c>
      <c r="H1037">
        <v>45</v>
      </c>
      <c r="L1037" s="5" t="str">
        <f>IF(COUNTIF(Sessions[SessionID],SessionMovements[[#This Row],[SessionID]])=0,"❌ Missing","✔ OK")</f>
        <v>✔ OK</v>
      </c>
    </row>
    <row r="1038" spans="1:12" x14ac:dyDescent="0.3">
      <c r="A1038" t="s">
        <v>1521</v>
      </c>
      <c r="B1038" t="s">
        <v>1483</v>
      </c>
      <c r="C1038" t="str">
        <f>IF(SessionMovements[[#This Row],[MovementID]]="","",
   _xlfn.XLOOKUP(SessionMovements[[#This Row],[MovementID]],MovementLibrary[MovementID],MovementLibrary[Name],"")
)</f>
        <v>Tibialis Raise</v>
      </c>
      <c r="D1038" s="5" t="str">
        <f>IF(SessionMovements[[#This Row],[MovementID]]="","",
   _xlfn.XLOOKUP(SessionMovements[[#This Row],[MovementID]], MovementLibrary[MovementID], MovementLibrary[Modality], "")
)</f>
        <v>Bodyweight</v>
      </c>
      <c r="E1038" s="5" t="str">
        <f>IF(SessionMovements[[#This Row],[MovementID]]="","",
   _xlfn.XLOOKUP(SessionMovements[[#This Row],[MovementID]], MovementLibrary[MovementID], MovementLibrary[Unit], "")
)</f>
        <v>reps</v>
      </c>
      <c r="F10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8">
        <v>3</v>
      </c>
      <c r="H1038">
        <v>25</v>
      </c>
      <c r="L1038" s="5" t="str">
        <f>IF(COUNTIF(Sessions[SessionID],SessionMovements[[#This Row],[SessionID]])=0,"❌ Missing","✔ OK")</f>
        <v>✔ OK</v>
      </c>
    </row>
    <row r="1039" spans="1:12" x14ac:dyDescent="0.3">
      <c r="A1039" t="s">
        <v>1521</v>
      </c>
      <c r="B1039" t="s">
        <v>1485</v>
      </c>
      <c r="C1039" t="str">
        <f>IF(SessionMovements[[#This Row],[MovementID]]="","",
   _xlfn.XLOOKUP(SessionMovements[[#This Row],[MovementID]],MovementLibrary[MovementID],MovementLibrary[Name],"")
)</f>
        <v>ATG Split Squat</v>
      </c>
      <c r="D1039" s="5" t="str">
        <f>IF(SessionMovements[[#This Row],[MovementID]]="","",
   _xlfn.XLOOKUP(SessionMovements[[#This Row],[MovementID]], MovementLibrary[MovementID], MovementLibrary[Modality], "")
)</f>
        <v>Bodyweight</v>
      </c>
      <c r="E1039" s="5" t="str">
        <f>IF(SessionMovements[[#This Row],[MovementID]]="","",
   _xlfn.XLOOKUP(SessionMovements[[#This Row],[MovementID]], MovementLibrary[MovementID], MovementLibrary[Unit], "")
)</f>
        <v>kg</v>
      </c>
      <c r="F10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39">
        <v>5</v>
      </c>
      <c r="H1039">
        <v>5</v>
      </c>
      <c r="L1039" s="5" t="str">
        <f>IF(COUNTIF(Sessions[SessionID],SessionMovements[[#This Row],[SessionID]])=0,"❌ Missing","✔ OK")</f>
        <v>✔ OK</v>
      </c>
    </row>
    <row r="1040" spans="1:12" x14ac:dyDescent="0.3">
      <c r="A1040" t="s">
        <v>1521</v>
      </c>
      <c r="B1040" t="s">
        <v>1489</v>
      </c>
      <c r="C1040" t="str">
        <f>IF(SessionMovements[[#This Row],[MovementID]]="","",
   _xlfn.XLOOKUP(SessionMovements[[#This Row],[MovementID]],MovementLibrary[MovementID],MovementLibrary[Name],"")
)</f>
        <v>Sotts Press</v>
      </c>
      <c r="D1040" s="5" t="str">
        <f>IF(SessionMovements[[#This Row],[MovementID]]="","",
   _xlfn.XLOOKUP(SessionMovements[[#This Row],[MovementID]], MovementLibrary[MovementID], MovementLibrary[Modality], "")
)</f>
        <v>Barbell</v>
      </c>
      <c r="E1040" s="5" t="str">
        <f>IF(SessionMovements[[#This Row],[MovementID]]="","",
   _xlfn.XLOOKUP(SessionMovements[[#This Row],[MovementID]], MovementLibrary[MovementID], MovementLibrary[Unit], "")
)</f>
        <v>kg</v>
      </c>
      <c r="F10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0">
        <v>3</v>
      </c>
      <c r="H1040">
        <v>8</v>
      </c>
      <c r="K1040" t="s">
        <v>1552</v>
      </c>
      <c r="L1040" s="5" t="str">
        <f>IF(COUNTIF(Sessions[SessionID],SessionMovements[[#This Row],[SessionID]])=0,"❌ Missing","✔ OK")</f>
        <v>✔ OK</v>
      </c>
    </row>
    <row r="1041" spans="1:12" x14ac:dyDescent="0.3">
      <c r="A1041" t="s">
        <v>1521</v>
      </c>
      <c r="B1041" t="s">
        <v>1497</v>
      </c>
      <c r="C1041" t="str">
        <f>IF(SessionMovements[[#This Row],[MovementID]]="","",
   _xlfn.XLOOKUP(SessionMovements[[#This Row],[MovementID]],MovementLibrary[MovementID],MovementLibrary[Name],"")
)</f>
        <v>BMU Hip-to-Bar Drill</v>
      </c>
      <c r="D1041" s="5" t="str">
        <f>IF(SessionMovements[[#This Row],[MovementID]]="","",
   _xlfn.XLOOKUP(SessionMovements[[#This Row],[MovementID]], MovementLibrary[MovementID], MovementLibrary[Modality], "")
)</f>
        <v>Bodyweight</v>
      </c>
      <c r="E1041" s="5" t="str">
        <f>IF(SessionMovements[[#This Row],[MovementID]]="","",
   _xlfn.XLOOKUP(SessionMovements[[#This Row],[MovementID]], MovementLibrary[MovementID], MovementLibrary[Unit], "")
)</f>
        <v>reps</v>
      </c>
      <c r="F10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1">
        <v>5</v>
      </c>
      <c r="H1041">
        <v>3</v>
      </c>
      <c r="L1041" s="5" t="str">
        <f>IF(COUNTIF(Sessions[SessionID],SessionMovements[[#This Row],[SessionID]])=0,"❌ Missing","✔ OK")</f>
        <v>✔ OK</v>
      </c>
    </row>
    <row r="1042" spans="1:12" x14ac:dyDescent="0.3">
      <c r="A1042" t="s">
        <v>1522</v>
      </c>
      <c r="B1042" t="s">
        <v>1483</v>
      </c>
      <c r="C1042" t="str">
        <f>IF(SessionMovements[[#This Row],[MovementID]]="","",
   _xlfn.XLOOKUP(SessionMovements[[#This Row],[MovementID]],MovementLibrary[MovementID],MovementLibrary[Name],"")
)</f>
        <v>Tibialis Raise</v>
      </c>
      <c r="D1042" s="5" t="str">
        <f>IF(SessionMovements[[#This Row],[MovementID]]="","",
   _xlfn.XLOOKUP(SessionMovements[[#This Row],[MovementID]], MovementLibrary[MovementID], MovementLibrary[Modality], "")
)</f>
        <v>Bodyweight</v>
      </c>
      <c r="E1042" s="5" t="str">
        <f>IF(SessionMovements[[#This Row],[MovementID]]="","",
   _xlfn.XLOOKUP(SessionMovements[[#This Row],[MovementID]], MovementLibrary[MovementID], MovementLibrary[Unit], "")
)</f>
        <v>reps</v>
      </c>
      <c r="F104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2">
        <v>3</v>
      </c>
      <c r="H1042">
        <v>25</v>
      </c>
      <c r="L1042" s="5" t="str">
        <f>IF(COUNTIF(Sessions[SessionID],SessionMovements[[#This Row],[SessionID]])=0,"❌ Missing","✔ OK")</f>
        <v>✔ OK</v>
      </c>
    </row>
    <row r="1043" spans="1:12" x14ac:dyDescent="0.3">
      <c r="A1043" t="s">
        <v>1522</v>
      </c>
      <c r="B1043" t="s">
        <v>1485</v>
      </c>
      <c r="C1043" t="str">
        <f>IF(SessionMovements[[#This Row],[MovementID]]="","",
   _xlfn.XLOOKUP(SessionMovements[[#This Row],[MovementID]],MovementLibrary[MovementID],MovementLibrary[Name],"")
)</f>
        <v>ATG Split Squat</v>
      </c>
      <c r="D1043" s="5" t="str">
        <f>IF(SessionMovements[[#This Row],[MovementID]]="","",
   _xlfn.XLOOKUP(SessionMovements[[#This Row],[MovementID]], MovementLibrary[MovementID], MovementLibrary[Modality], "")
)</f>
        <v>Bodyweight</v>
      </c>
      <c r="E1043" s="5" t="str">
        <f>IF(SessionMovements[[#This Row],[MovementID]]="","",
   _xlfn.XLOOKUP(SessionMovements[[#This Row],[MovementID]], MovementLibrary[MovementID], MovementLibrary[Unit], "")
)</f>
        <v>kg</v>
      </c>
      <c r="F104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3">
        <v>5</v>
      </c>
      <c r="H1043">
        <v>5</v>
      </c>
      <c r="L1043" s="5" t="str">
        <f>IF(COUNTIF(Sessions[SessionID],SessionMovements[[#This Row],[SessionID]])=0,"❌ Missing","✔ OK")</f>
        <v>✔ OK</v>
      </c>
    </row>
    <row r="1044" spans="1:12" x14ac:dyDescent="0.3">
      <c r="A1044" t="s">
        <v>1522</v>
      </c>
      <c r="B1044" t="s">
        <v>1489</v>
      </c>
      <c r="C1044" t="str">
        <f>IF(SessionMovements[[#This Row],[MovementID]]="","",
   _xlfn.XLOOKUP(SessionMovements[[#This Row],[MovementID]],MovementLibrary[MovementID],MovementLibrary[Name],"")
)</f>
        <v>Sotts Press</v>
      </c>
      <c r="D1044" s="5" t="str">
        <f>IF(SessionMovements[[#This Row],[MovementID]]="","",
   _xlfn.XLOOKUP(SessionMovements[[#This Row],[MovementID]], MovementLibrary[MovementID], MovementLibrary[Modality], "")
)</f>
        <v>Barbell</v>
      </c>
      <c r="E1044" s="5" t="str">
        <f>IF(SessionMovements[[#This Row],[MovementID]]="","",
   _xlfn.XLOOKUP(SessionMovements[[#This Row],[MovementID]], MovementLibrary[MovementID], MovementLibrary[Unit], "")
)</f>
        <v>kg</v>
      </c>
      <c r="F104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4">
        <v>3</v>
      </c>
      <c r="H1044">
        <v>8</v>
      </c>
      <c r="K1044" t="s">
        <v>1552</v>
      </c>
      <c r="L1044" s="5" t="str">
        <f>IF(COUNTIF(Sessions[SessionID],SessionMovements[[#This Row],[SessionID]])=0,"❌ Missing","✔ OK")</f>
        <v>✔ OK</v>
      </c>
    </row>
    <row r="1045" spans="1:12" x14ac:dyDescent="0.3">
      <c r="A1045" t="s">
        <v>1522</v>
      </c>
      <c r="B1045" t="s">
        <v>1503</v>
      </c>
      <c r="C1045" t="str">
        <f>IF(SessionMovements[[#This Row],[MovementID]]="","",
   _xlfn.XLOOKUP(SessionMovements[[#This Row],[MovementID]],MovementLibrary[MovementID],MovementLibrary[Name],"")
)</f>
        <v>Pistol Squat Neg</v>
      </c>
      <c r="D1045" s="5" t="str">
        <f>IF(SessionMovements[[#This Row],[MovementID]]="","",
   _xlfn.XLOOKUP(SessionMovements[[#This Row],[MovementID]], MovementLibrary[MovementID], MovementLibrary[Modality], "")
)</f>
        <v>Bodyweight</v>
      </c>
      <c r="E1045" s="5" t="str">
        <f>IF(SessionMovements[[#This Row],[MovementID]]="","",
   _xlfn.XLOOKUP(SessionMovements[[#This Row],[MovementID]], MovementLibrary[MovementID], MovementLibrary[Unit], "")
)</f>
        <v>reps</v>
      </c>
      <c r="F104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5">
        <v>3</v>
      </c>
      <c r="H1045">
        <v>5</v>
      </c>
      <c r="K1045" t="s">
        <v>1550</v>
      </c>
      <c r="L1045" s="5" t="str">
        <f>IF(COUNTIF(Sessions[SessionID],SessionMovements[[#This Row],[SessionID]])=0,"❌ Missing","✔ OK")</f>
        <v>✔ OK</v>
      </c>
    </row>
    <row r="1046" spans="1:12" x14ac:dyDescent="0.3">
      <c r="A1046" t="s">
        <v>1506</v>
      </c>
      <c r="B1046" t="s">
        <v>1487</v>
      </c>
      <c r="C1046" t="str">
        <f>IF(SessionMovements[[#This Row],[MovementID]]="","",
   _xlfn.XLOOKUP(SessionMovements[[#This Row],[MovementID]],MovementLibrary[MovementID],MovementLibrary[Name],"")
)</f>
        <v>Patrick Step</v>
      </c>
      <c r="D1046" s="5" t="str">
        <f>IF(SessionMovements[[#This Row],[MovementID]]="","",
   _xlfn.XLOOKUP(SessionMovements[[#This Row],[MovementID]], MovementLibrary[MovementID], MovementLibrary[Modality], "")
)</f>
        <v>Bodyweight</v>
      </c>
      <c r="E1046" s="5" t="str">
        <f>IF(SessionMovements[[#This Row],[MovementID]]="","",
   _xlfn.XLOOKUP(SessionMovements[[#This Row],[MovementID]], MovementLibrary[MovementID], MovementLibrary[Unit], "")
)</f>
        <v>reps</v>
      </c>
      <c r="F104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6">
        <v>3</v>
      </c>
      <c r="H1046">
        <v>25</v>
      </c>
      <c r="L1046" s="5" t="str">
        <f>IF(COUNTIF(Sessions[SessionID],SessionMovements[[#This Row],[SessionID]])=0,"❌ Missing","✔ OK")</f>
        <v>✔ OK</v>
      </c>
    </row>
    <row r="1047" spans="1:12" x14ac:dyDescent="0.3">
      <c r="A1047" t="s">
        <v>1506</v>
      </c>
      <c r="B1047" t="s">
        <v>262</v>
      </c>
      <c r="C1047" t="str">
        <f>IF(SessionMovements[[#This Row],[MovementID]]="","",
   _xlfn.XLOOKUP(SessionMovements[[#This Row],[MovementID]],MovementLibrary[MovementID],MovementLibrary[Name],"")
)</f>
        <v>Strict Press</v>
      </c>
      <c r="D1047" s="5" t="str">
        <f>IF(SessionMovements[[#This Row],[MovementID]]="","",
   _xlfn.XLOOKUP(SessionMovements[[#This Row],[MovementID]], MovementLibrary[MovementID], MovementLibrary[Modality], "")
)</f>
        <v>Barbell</v>
      </c>
      <c r="E1047" s="5" t="str">
        <f>IF(SessionMovements[[#This Row],[MovementID]]="","",
   _xlfn.XLOOKUP(SessionMovements[[#This Row],[MovementID]], MovementLibrary[MovementID], MovementLibrary[Unit], "")
)</f>
        <v>kg</v>
      </c>
      <c r="F104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7">
        <v>4</v>
      </c>
      <c r="H1047">
        <v>6</v>
      </c>
      <c r="I1047">
        <v>47.5</v>
      </c>
      <c r="L1047" s="5" t="str">
        <f>IF(COUNTIF(Sessions[SessionID],SessionMovements[[#This Row],[SessionID]])=0,"❌ Missing","✔ OK")</f>
        <v>✔ OK</v>
      </c>
    </row>
    <row r="1048" spans="1:12" x14ac:dyDescent="0.3">
      <c r="A1048" t="s">
        <v>1506</v>
      </c>
      <c r="B1048" t="s">
        <v>1507</v>
      </c>
      <c r="C1048" t="str">
        <f>IF(SessionMovements[[#This Row],[MovementID]]="","",
   _xlfn.XLOOKUP(SessionMovements[[#This Row],[MovementID]],MovementLibrary[MovementID],MovementLibrary[Name],"")
)</f>
        <v>Handstand Walk Taps</v>
      </c>
      <c r="D1048" s="5" t="str">
        <f>IF(SessionMovements[[#This Row],[MovementID]]="","",
   _xlfn.XLOOKUP(SessionMovements[[#This Row],[MovementID]], MovementLibrary[MovementID], MovementLibrary[Modality], "")
)</f>
        <v>Bodyweight</v>
      </c>
      <c r="E1048" s="5" t="str">
        <f>IF(SessionMovements[[#This Row],[MovementID]]="","",
   _xlfn.XLOOKUP(SessionMovements[[#This Row],[MovementID]], MovementLibrary[MovementID], MovementLibrary[Unit], "")
)</f>
        <v>reps</v>
      </c>
      <c r="F104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8">
        <v>3</v>
      </c>
      <c r="H1048">
        <v>20</v>
      </c>
      <c r="L1048" s="5" t="str">
        <f>IF(COUNTIF(Sessions[SessionID],SessionMovements[[#This Row],[SessionID]])=0,"❌ Missing","✔ OK")</f>
        <v>✔ OK</v>
      </c>
    </row>
    <row r="1049" spans="1:12" x14ac:dyDescent="0.3">
      <c r="A1049" t="s">
        <v>1506</v>
      </c>
      <c r="B1049" t="s">
        <v>1491</v>
      </c>
      <c r="C1049" t="str">
        <f>IF(SessionMovements[[#This Row],[MovementID]]="","",
   _xlfn.XLOOKUP(SessionMovements[[#This Row],[MovementID]],MovementLibrary[MovementID],MovementLibrary[Name],"")
)</f>
        <v>Jefferson Curl</v>
      </c>
      <c r="D1049" s="5" t="str">
        <f>IF(SessionMovements[[#This Row],[MovementID]]="","",
   _xlfn.XLOOKUP(SessionMovements[[#This Row],[MovementID]], MovementLibrary[MovementID], MovementLibrary[Modality], "")
)</f>
        <v>Barbell</v>
      </c>
      <c r="E1049" s="5" t="str">
        <f>IF(SessionMovements[[#This Row],[MovementID]]="","",
   _xlfn.XLOOKUP(SessionMovements[[#This Row],[MovementID]], MovementLibrary[MovementID], MovementLibrary[Unit], "")
)</f>
        <v>kg</v>
      </c>
      <c r="F104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49">
        <v>3</v>
      </c>
      <c r="H1049">
        <v>10</v>
      </c>
      <c r="I1049">
        <v>15</v>
      </c>
      <c r="K1049" t="s">
        <v>1548</v>
      </c>
      <c r="L1049" s="5" t="str">
        <f>IF(COUNTIF(Sessions[SessionID],SessionMovements[[#This Row],[SessionID]])=0,"❌ Missing","✔ OK")</f>
        <v>✔ OK</v>
      </c>
    </row>
    <row r="1050" spans="1:12" x14ac:dyDescent="0.3">
      <c r="A1050" t="s">
        <v>1524</v>
      </c>
      <c r="B1050" t="s">
        <v>527</v>
      </c>
      <c r="C1050" t="str">
        <f>IF(SessionMovements[[#This Row],[MovementID]]="","",
   _xlfn.XLOOKUP(SessionMovements[[#This Row],[MovementID]],MovementLibrary[MovementID],MovementLibrary[Name],"")
)</f>
        <v>L-Sit Hold</v>
      </c>
      <c r="D1050" s="5" t="str">
        <f>IF(SessionMovements[[#This Row],[MovementID]]="","",
   _xlfn.XLOOKUP(SessionMovements[[#This Row],[MovementID]], MovementLibrary[MovementID], MovementLibrary[Modality], "")
)</f>
        <v>Gymnastics</v>
      </c>
      <c r="E1050" s="5" t="str">
        <f>IF(SessionMovements[[#This Row],[MovementID]]="","",
   _xlfn.XLOOKUP(SessionMovements[[#This Row],[MovementID]], MovementLibrary[MovementID], MovementLibrary[Unit], "")
)</f>
        <v>sec</v>
      </c>
      <c r="F105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0">
        <v>3</v>
      </c>
      <c r="H1050">
        <v>30</v>
      </c>
      <c r="L1050" s="5" t="str">
        <f>IF(COUNTIF(Sessions[SessionID],SessionMovements[[#This Row],[SessionID]])=0,"❌ Missing","✔ OK")</f>
        <v>✔ OK</v>
      </c>
    </row>
    <row r="1051" spans="1:12" x14ac:dyDescent="0.3">
      <c r="A1051" t="s">
        <v>1524</v>
      </c>
      <c r="B1051" t="s">
        <v>1491</v>
      </c>
      <c r="C1051" t="str">
        <f>IF(SessionMovements[[#This Row],[MovementID]]="","",
   _xlfn.XLOOKUP(SessionMovements[[#This Row],[MovementID]],MovementLibrary[MovementID],MovementLibrary[Name],"")
)</f>
        <v>Jefferson Curl</v>
      </c>
      <c r="D1051" s="5" t="str">
        <f>IF(SessionMovements[[#This Row],[MovementID]]="","",
   _xlfn.XLOOKUP(SessionMovements[[#This Row],[MovementID]], MovementLibrary[MovementID], MovementLibrary[Modality], "")
)</f>
        <v>Barbell</v>
      </c>
      <c r="E1051" s="5" t="str">
        <f>IF(SessionMovements[[#This Row],[MovementID]]="","",
   _xlfn.XLOOKUP(SessionMovements[[#This Row],[MovementID]], MovementLibrary[MovementID], MovementLibrary[Unit], "")
)</f>
        <v>kg</v>
      </c>
      <c r="F105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1">
        <v>3</v>
      </c>
      <c r="H1051">
        <v>8</v>
      </c>
      <c r="I1051">
        <v>15</v>
      </c>
      <c r="K1051" t="s">
        <v>1548</v>
      </c>
      <c r="L1051" s="5" t="str">
        <f>IF(COUNTIF(Sessions[SessionID],SessionMovements[[#This Row],[SessionID]])=0,"❌ Missing","✔ OK")</f>
        <v>✔ OK</v>
      </c>
    </row>
    <row r="1052" spans="1:12" x14ac:dyDescent="0.3">
      <c r="A1052" t="s">
        <v>1524</v>
      </c>
      <c r="B1052" t="s">
        <v>1512</v>
      </c>
      <c r="C1052" t="str">
        <f>IF(SessionMovements[[#This Row],[MovementID]]="","",
   _xlfn.XLOOKUP(SessionMovements[[#This Row],[MovementID]],MovementLibrary[MovementID],MovementLibrary[Name],"")
)</f>
        <v>Strict Chest to Bar</v>
      </c>
      <c r="D1052" s="5" t="str">
        <f>IF(SessionMovements[[#This Row],[MovementID]]="","",
   _xlfn.XLOOKUP(SessionMovements[[#This Row],[MovementID]], MovementLibrary[MovementID], MovementLibrary[Modality], "")
)</f>
        <v>Bodyweight</v>
      </c>
      <c r="E1052" s="5" t="str">
        <f>IF(SessionMovements[[#This Row],[MovementID]]="","",
   _xlfn.XLOOKUP(SessionMovements[[#This Row],[MovementID]], MovementLibrary[MovementID], MovementLibrary[Unit], "")
)</f>
        <v>reps</v>
      </c>
      <c r="F105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2">
        <v>5</v>
      </c>
      <c r="H1052">
        <v>3</v>
      </c>
      <c r="L1052" s="5" t="str">
        <f>IF(COUNTIF(Sessions[SessionID],SessionMovements[[#This Row],[SessionID]])=0,"❌ Missing","✔ OK")</f>
        <v>✔ OK</v>
      </c>
    </row>
    <row r="1053" spans="1:12" x14ac:dyDescent="0.3">
      <c r="A1053" t="s">
        <v>1524</v>
      </c>
      <c r="B1053" t="s">
        <v>1555</v>
      </c>
      <c r="C1053" t="str">
        <f>IF(SessionMovements[[#This Row],[MovementID]]="","",
   _xlfn.XLOOKUP(SessionMovements[[#This Row],[MovementID]],MovementLibrary[MovementID],MovementLibrary[Name],"")
)</f>
        <v>Weighted Pec stretch</v>
      </c>
      <c r="D1053" s="5" t="str">
        <f>IF(SessionMovements[[#This Row],[MovementID]]="","",
   _xlfn.XLOOKUP(SessionMovements[[#This Row],[MovementID]], MovementLibrary[MovementID], MovementLibrary[Modality], "")
)</f>
        <v>Bodyweight</v>
      </c>
      <c r="E1053" s="5" t="str">
        <f>IF(SessionMovements[[#This Row],[MovementID]]="","",
   _xlfn.XLOOKUP(SessionMovements[[#This Row],[MovementID]], MovementLibrary[MovementID], MovementLibrary[Unit], "")
)</f>
        <v>kg</v>
      </c>
      <c r="F105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3">
        <v>3</v>
      </c>
      <c r="H1053">
        <v>90</v>
      </c>
      <c r="L1053" s="5" t="str">
        <f>IF(COUNTIF(Sessions[SessionID],SessionMovements[[#This Row],[SessionID]])=0,"❌ Missing","✔ OK")</f>
        <v>✔ OK</v>
      </c>
    </row>
    <row r="1054" spans="1:12" x14ac:dyDescent="0.3">
      <c r="A1054" t="s">
        <v>1525</v>
      </c>
      <c r="B1054" t="s">
        <v>1518</v>
      </c>
      <c r="C1054" t="str">
        <f>IF(SessionMovements[[#This Row],[MovementID]]="","",
   _xlfn.XLOOKUP(SessionMovements[[#This Row],[MovementID]],MovementLibrary[MovementID],MovementLibrary[Name],"")
)</f>
        <v>KOT Calf Rasiers</v>
      </c>
      <c r="D1054" s="5" t="str">
        <f>IF(SessionMovements[[#This Row],[MovementID]]="","",
   _xlfn.XLOOKUP(SessionMovements[[#This Row],[MovementID]], MovementLibrary[MovementID], MovementLibrary[Modality], "")
)</f>
        <v>Bodyweight</v>
      </c>
      <c r="E1054" s="5" t="str">
        <f>IF(SessionMovements[[#This Row],[MovementID]]="","",
   _xlfn.XLOOKUP(SessionMovements[[#This Row],[MovementID]], MovementLibrary[MovementID], MovementLibrary[Unit], "")
)</f>
        <v>kg</v>
      </c>
      <c r="F105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4">
        <v>3</v>
      </c>
      <c r="H1054">
        <v>20</v>
      </c>
      <c r="L1054" s="5" t="str">
        <f>IF(COUNTIF(Sessions[SessionID],SessionMovements[[#This Row],[SessionID]])=0,"❌ Missing","✔ OK")</f>
        <v>✔ OK</v>
      </c>
    </row>
    <row r="1055" spans="1:12" x14ac:dyDescent="0.3">
      <c r="A1055" t="s">
        <v>1525</v>
      </c>
      <c r="B1055" t="s">
        <v>651</v>
      </c>
      <c r="C1055" t="str">
        <f>IF(SessionMovements[[#This Row],[MovementID]]="","",
   _xlfn.XLOOKUP(SessionMovements[[#This Row],[MovementID]],MovementLibrary[MovementID],MovementLibrary[Name],"")
)</f>
        <v>Segmented Snatch Deadlift (1" + knee)</v>
      </c>
      <c r="D1055" s="5" t="str">
        <f>IF(SessionMovements[[#This Row],[MovementID]]="","",
   _xlfn.XLOOKUP(SessionMovements[[#This Row],[MovementID]], MovementLibrary[MovementID], MovementLibrary[Modality], "")
)</f>
        <v>Barbell</v>
      </c>
      <c r="E1055" s="5" t="str">
        <f>IF(SessionMovements[[#This Row],[MovementID]]="","",
   _xlfn.XLOOKUP(SessionMovements[[#This Row],[MovementID]], MovementLibrary[MovementID], MovementLibrary[Unit], "")
)</f>
        <v>kg</v>
      </c>
      <c r="F105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5">
        <v>5</v>
      </c>
      <c r="H1055">
        <v>3</v>
      </c>
      <c r="I1055">
        <v>50</v>
      </c>
      <c r="L1055" s="5" t="str">
        <f>IF(COUNTIF(Sessions[SessionID],SessionMovements[[#This Row],[SessionID]])=0,"❌ Missing","✔ OK")</f>
        <v>✔ OK</v>
      </c>
    </row>
    <row r="1056" spans="1:12" x14ac:dyDescent="0.3">
      <c r="A1056" t="s">
        <v>1525</v>
      </c>
      <c r="B1056" t="s">
        <v>1557</v>
      </c>
      <c r="C1056" t="str">
        <f>IF(SessionMovements[[#This Row],[MovementID]]="","",
   _xlfn.XLOOKUP(SessionMovements[[#This Row],[MovementID]],MovementLibrary[MovementID],MovementLibrary[Name],"")
)</f>
        <v>Crow Pose</v>
      </c>
      <c r="D1056" s="5" t="str">
        <f>IF(SessionMovements[[#This Row],[MovementID]]="","",
   _xlfn.XLOOKUP(SessionMovements[[#This Row],[MovementID]], MovementLibrary[MovementID], MovementLibrary[Modality], "")
)</f>
        <v>Gymnastic</v>
      </c>
      <c r="E1056" s="5" t="str">
        <f>IF(SessionMovements[[#This Row],[MovementID]]="","",
   _xlfn.XLOOKUP(SessionMovements[[#This Row],[MovementID]], MovementLibrary[MovementID], MovementLibrary[Unit], "")
)</f>
        <v>sec</v>
      </c>
      <c r="F105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6">
        <v>4</v>
      </c>
      <c r="H1056">
        <v>45</v>
      </c>
      <c r="L1056" s="5" t="str">
        <f>IF(COUNTIF(Sessions[SessionID],SessionMovements[[#This Row],[SessionID]])=0,"❌ Missing","✔ OK")</f>
        <v>✔ OK</v>
      </c>
    </row>
    <row r="1057" spans="1:12" x14ac:dyDescent="0.3">
      <c r="A1057" t="s">
        <v>1525</v>
      </c>
      <c r="B1057" t="s">
        <v>530</v>
      </c>
      <c r="C1057" t="str">
        <f>IF(SessionMovements[[#This Row],[MovementID]]="","",
   _xlfn.XLOOKUP(SessionMovements[[#This Row],[MovementID]],MovementLibrary[MovementID],MovementLibrary[Name],"")
)</f>
        <v>Hollow Hold</v>
      </c>
      <c r="D1057" s="5" t="str">
        <f>IF(SessionMovements[[#This Row],[MovementID]]="","",
   _xlfn.XLOOKUP(SessionMovements[[#This Row],[MovementID]], MovementLibrary[MovementID], MovementLibrary[Modality], "")
)</f>
        <v>Gymnastics</v>
      </c>
      <c r="E1057" s="5" t="str">
        <f>IF(SessionMovements[[#This Row],[MovementID]]="","",
   _xlfn.XLOOKUP(SessionMovements[[#This Row],[MovementID]], MovementLibrary[MovementID], MovementLibrary[Unit], "")
)</f>
        <v>sec</v>
      </c>
      <c r="F105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7">
        <v>3</v>
      </c>
      <c r="H1057">
        <v>45</v>
      </c>
      <c r="L1057" s="5" t="str">
        <f>IF(COUNTIF(Sessions[SessionID],SessionMovements[[#This Row],[SessionID]])=0,"❌ Missing","✔ OK")</f>
        <v>✔ OK</v>
      </c>
    </row>
    <row r="1058" spans="1:12" x14ac:dyDescent="0.3">
      <c r="A1058" t="s">
        <v>1526</v>
      </c>
      <c r="B1058" t="s">
        <v>1483</v>
      </c>
      <c r="C1058" t="str">
        <f>IF(SessionMovements[[#This Row],[MovementID]]="","",
   _xlfn.XLOOKUP(SessionMovements[[#This Row],[MovementID]],MovementLibrary[MovementID],MovementLibrary[Name],"")
)</f>
        <v>Tibialis Raise</v>
      </c>
      <c r="D1058" s="5" t="str">
        <f>IF(SessionMovements[[#This Row],[MovementID]]="","",
   _xlfn.XLOOKUP(SessionMovements[[#This Row],[MovementID]], MovementLibrary[MovementID], MovementLibrary[Modality], "")
)</f>
        <v>Bodyweight</v>
      </c>
      <c r="E1058" s="5" t="str">
        <f>IF(SessionMovements[[#This Row],[MovementID]]="","",
   _xlfn.XLOOKUP(SessionMovements[[#This Row],[MovementID]], MovementLibrary[MovementID], MovementLibrary[Unit], "")
)</f>
        <v>reps</v>
      </c>
      <c r="F105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8">
        <v>3</v>
      </c>
      <c r="H1058">
        <v>25</v>
      </c>
      <c r="L1058" s="5" t="str">
        <f>IF(COUNTIF(Sessions[SessionID],SessionMovements[[#This Row],[SessionID]])=0,"❌ Missing","✔ OK")</f>
        <v>✔ OK</v>
      </c>
    </row>
    <row r="1059" spans="1:12" x14ac:dyDescent="0.3">
      <c r="A1059" t="s">
        <v>1526</v>
      </c>
      <c r="B1059" t="s">
        <v>1485</v>
      </c>
      <c r="C1059" t="str">
        <f>IF(SessionMovements[[#This Row],[MovementID]]="","",
   _xlfn.XLOOKUP(SessionMovements[[#This Row],[MovementID]],MovementLibrary[MovementID],MovementLibrary[Name],"")
)</f>
        <v>ATG Split Squat</v>
      </c>
      <c r="D1059" s="5" t="str">
        <f>IF(SessionMovements[[#This Row],[MovementID]]="","",
   _xlfn.XLOOKUP(SessionMovements[[#This Row],[MovementID]], MovementLibrary[MovementID], MovementLibrary[Modality], "")
)</f>
        <v>Bodyweight</v>
      </c>
      <c r="E1059" s="5" t="str">
        <f>IF(SessionMovements[[#This Row],[MovementID]]="","",
   _xlfn.XLOOKUP(SessionMovements[[#This Row],[MovementID]], MovementLibrary[MovementID], MovementLibrary[Unit], "")
)</f>
        <v>kg</v>
      </c>
      <c r="F105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59">
        <v>5</v>
      </c>
      <c r="H1059">
        <v>5</v>
      </c>
      <c r="L1059" s="5" t="str">
        <f>IF(COUNTIF(Sessions[SessionID],SessionMovements[[#This Row],[SessionID]])=0,"❌ Missing","✔ OK")</f>
        <v>✔ OK</v>
      </c>
    </row>
    <row r="1060" spans="1:12" x14ac:dyDescent="0.3">
      <c r="A1060" t="s">
        <v>1526</v>
      </c>
      <c r="B1060" t="s">
        <v>1489</v>
      </c>
      <c r="C1060" t="str">
        <f>IF(SessionMovements[[#This Row],[MovementID]]="","",
   _xlfn.XLOOKUP(SessionMovements[[#This Row],[MovementID]],MovementLibrary[MovementID],MovementLibrary[Name],"")
)</f>
        <v>Sotts Press</v>
      </c>
      <c r="D1060" s="5" t="str">
        <f>IF(SessionMovements[[#This Row],[MovementID]]="","",
   _xlfn.XLOOKUP(SessionMovements[[#This Row],[MovementID]], MovementLibrary[MovementID], MovementLibrary[Modality], "")
)</f>
        <v>Barbell</v>
      </c>
      <c r="E1060" s="5" t="str">
        <f>IF(SessionMovements[[#This Row],[MovementID]]="","",
   _xlfn.XLOOKUP(SessionMovements[[#This Row],[MovementID]], MovementLibrary[MovementID], MovementLibrary[Unit], "")
)</f>
        <v>kg</v>
      </c>
      <c r="F106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0">
        <v>3</v>
      </c>
      <c r="H1060">
        <v>8</v>
      </c>
      <c r="K1060" t="s">
        <v>1552</v>
      </c>
      <c r="L1060" s="5" t="str">
        <f>IF(COUNTIF(Sessions[SessionID],SessionMovements[[#This Row],[SessionID]])=0,"❌ Missing","✔ OK")</f>
        <v>✔ OK</v>
      </c>
    </row>
    <row r="1061" spans="1:12" x14ac:dyDescent="0.3">
      <c r="A1061" t="s">
        <v>1526</v>
      </c>
      <c r="B1061" t="s">
        <v>1497</v>
      </c>
      <c r="C1061" t="str">
        <f>IF(SessionMovements[[#This Row],[MovementID]]="","",
   _xlfn.XLOOKUP(SessionMovements[[#This Row],[MovementID]],MovementLibrary[MovementID],MovementLibrary[Name],"")
)</f>
        <v>BMU Hip-to-Bar Drill</v>
      </c>
      <c r="D1061" s="5" t="str">
        <f>IF(SessionMovements[[#This Row],[MovementID]]="","",
   _xlfn.XLOOKUP(SessionMovements[[#This Row],[MovementID]], MovementLibrary[MovementID], MovementLibrary[Modality], "")
)</f>
        <v>Bodyweight</v>
      </c>
      <c r="E1061" s="5" t="str">
        <f>IF(SessionMovements[[#This Row],[MovementID]]="","",
   _xlfn.XLOOKUP(SessionMovements[[#This Row],[MovementID]], MovementLibrary[MovementID], MovementLibrary[Unit], "")
)</f>
        <v>reps</v>
      </c>
      <c r="F106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1">
        <v>5</v>
      </c>
      <c r="H1061">
        <v>3</v>
      </c>
      <c r="L1061" s="5" t="str">
        <f>IF(COUNTIF(Sessions[SessionID],SessionMovements[[#This Row],[SessionID]])=0,"❌ Missing","✔ OK")</f>
        <v>✔ OK</v>
      </c>
    </row>
    <row r="1062" spans="1:12" x14ac:dyDescent="0.3">
      <c r="A1062" t="s">
        <v>1527</v>
      </c>
      <c r="B1062" t="s">
        <v>1483</v>
      </c>
      <c r="C1062" t="str">
        <f>IF(SessionMovements[[#This Row],[MovementID]]="","",
   _xlfn.XLOOKUP(SessionMovements[[#This Row],[MovementID]],MovementLibrary[MovementID],MovementLibrary[Name],"")
)</f>
        <v>Tibialis Raise</v>
      </c>
      <c r="D1062" s="5" t="str">
        <f>IF(SessionMovements[[#This Row],[MovementID]]="","",
   _xlfn.XLOOKUP(SessionMovements[[#This Row],[MovementID]], MovementLibrary[MovementID], MovementLibrary[Modality], "")
)</f>
        <v>Bodyweight</v>
      </c>
      <c r="E1062" s="5" t="str">
        <f>IF(SessionMovements[[#This Row],[MovementID]]="","",
   _xlfn.XLOOKUP(SessionMovements[[#This Row],[MovementID]], MovementLibrary[MovementID], MovementLibrary[Unit], "")
)</f>
        <v>reps</v>
      </c>
      <c r="F106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2">
        <v>3</v>
      </c>
      <c r="H1062">
        <v>25</v>
      </c>
      <c r="K1062" t="s">
        <v>1546</v>
      </c>
      <c r="L1062" s="5" t="str">
        <f>IF(COUNTIF(Sessions[SessionID],SessionMovements[[#This Row],[SessionID]])=0,"❌ Missing","✔ OK")</f>
        <v>✔ OK</v>
      </c>
    </row>
    <row r="1063" spans="1:12" x14ac:dyDescent="0.3">
      <c r="A1063" t="s">
        <v>1527</v>
      </c>
      <c r="B1063" t="s">
        <v>1485</v>
      </c>
      <c r="C1063" t="str">
        <f>IF(SessionMovements[[#This Row],[MovementID]]="","",
   _xlfn.XLOOKUP(SessionMovements[[#This Row],[MovementID]],MovementLibrary[MovementID],MovementLibrary[Name],"")
)</f>
        <v>ATG Split Squat</v>
      </c>
      <c r="D1063" s="5" t="str">
        <f>IF(SessionMovements[[#This Row],[MovementID]]="","",
   _xlfn.XLOOKUP(SessionMovements[[#This Row],[MovementID]], MovementLibrary[MovementID], MovementLibrary[Modality], "")
)</f>
        <v>Bodyweight</v>
      </c>
      <c r="E1063" s="5" t="str">
        <f>IF(SessionMovements[[#This Row],[MovementID]]="","",
   _xlfn.XLOOKUP(SessionMovements[[#This Row],[MovementID]], MovementLibrary[MovementID], MovementLibrary[Unit], "")
)</f>
        <v>kg</v>
      </c>
      <c r="F106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3">
        <v>5</v>
      </c>
      <c r="H1063">
        <v>5</v>
      </c>
      <c r="L1063" s="5" t="str">
        <f>IF(COUNTIF(Sessions[SessionID],SessionMovements[[#This Row],[SessionID]])=0,"❌ Missing","✔ OK")</f>
        <v>✔ OK</v>
      </c>
    </row>
    <row r="1064" spans="1:12" x14ac:dyDescent="0.3">
      <c r="A1064" t="s">
        <v>1527</v>
      </c>
      <c r="B1064" t="s">
        <v>1489</v>
      </c>
      <c r="C1064" t="str">
        <f>IF(SessionMovements[[#This Row],[MovementID]]="","",
   _xlfn.XLOOKUP(SessionMovements[[#This Row],[MovementID]],MovementLibrary[MovementID],MovementLibrary[Name],"")
)</f>
        <v>Sotts Press</v>
      </c>
      <c r="D1064" s="5" t="str">
        <f>IF(SessionMovements[[#This Row],[MovementID]]="","",
   _xlfn.XLOOKUP(SessionMovements[[#This Row],[MovementID]], MovementLibrary[MovementID], MovementLibrary[Modality], "")
)</f>
        <v>Barbell</v>
      </c>
      <c r="E1064" s="5" t="str">
        <f>IF(SessionMovements[[#This Row],[MovementID]]="","",
   _xlfn.XLOOKUP(SessionMovements[[#This Row],[MovementID]], MovementLibrary[MovementID], MovementLibrary[Unit], "")
)</f>
        <v>kg</v>
      </c>
      <c r="F106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4">
        <v>3</v>
      </c>
      <c r="H1064">
        <v>8</v>
      </c>
      <c r="K1064" t="s">
        <v>1548</v>
      </c>
      <c r="L1064" s="5" t="str">
        <f>IF(COUNTIF(Sessions[SessionID],SessionMovements[[#This Row],[SessionID]])=0,"❌ Missing","✔ OK")</f>
        <v>✔ OK</v>
      </c>
    </row>
    <row r="1065" spans="1:12" x14ac:dyDescent="0.3">
      <c r="A1065" t="s">
        <v>1527</v>
      </c>
      <c r="B1065" t="s">
        <v>1503</v>
      </c>
      <c r="C1065" t="str">
        <f>IF(SessionMovements[[#This Row],[MovementID]]="","",
   _xlfn.XLOOKUP(SessionMovements[[#This Row],[MovementID]],MovementLibrary[MovementID],MovementLibrary[Name],"")
)</f>
        <v>Pistol Squat Neg</v>
      </c>
      <c r="D1065" s="5" t="str">
        <f>IF(SessionMovements[[#This Row],[MovementID]]="","",
   _xlfn.XLOOKUP(SessionMovements[[#This Row],[MovementID]], MovementLibrary[MovementID], MovementLibrary[Modality], "")
)</f>
        <v>Bodyweight</v>
      </c>
      <c r="E1065" s="5" t="str">
        <f>IF(SessionMovements[[#This Row],[MovementID]]="","",
   _xlfn.XLOOKUP(SessionMovements[[#This Row],[MovementID]], MovementLibrary[MovementID], MovementLibrary[Unit], "")
)</f>
        <v>reps</v>
      </c>
      <c r="F106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5">
        <v>3</v>
      </c>
      <c r="H1065">
        <v>5</v>
      </c>
      <c r="K1065" t="s">
        <v>1550</v>
      </c>
      <c r="L1065" s="5" t="str">
        <f>IF(COUNTIF(Sessions[SessionID],SessionMovements[[#This Row],[SessionID]])=0,"❌ Missing","✔ OK")</f>
        <v>✔ OK</v>
      </c>
    </row>
    <row r="1066" spans="1:12" x14ac:dyDescent="0.3">
      <c r="A1066" t="s">
        <v>1528</v>
      </c>
      <c r="B1066" t="s">
        <v>1487</v>
      </c>
      <c r="C1066" t="str">
        <f>IF(SessionMovements[[#This Row],[MovementID]]="","",
   _xlfn.XLOOKUP(SessionMovements[[#This Row],[MovementID]],MovementLibrary[MovementID],MovementLibrary[Name],"")
)</f>
        <v>Patrick Step</v>
      </c>
      <c r="D1066" s="5" t="str">
        <f>IF(SessionMovements[[#This Row],[MovementID]]="","",
   _xlfn.XLOOKUP(SessionMovements[[#This Row],[MovementID]], MovementLibrary[MovementID], MovementLibrary[Modality], "")
)</f>
        <v>Bodyweight</v>
      </c>
      <c r="E1066" s="5" t="str">
        <f>IF(SessionMovements[[#This Row],[MovementID]]="","",
   _xlfn.XLOOKUP(SessionMovements[[#This Row],[MovementID]], MovementLibrary[MovementID], MovementLibrary[Unit], "")
)</f>
        <v>reps</v>
      </c>
      <c r="F106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6">
        <v>3</v>
      </c>
      <c r="H1066">
        <v>25</v>
      </c>
      <c r="L1066" s="5" t="str">
        <f>IF(COUNTIF(Sessions[SessionID],SessionMovements[[#This Row],[SessionID]])=0,"❌ Missing","✔ OK")</f>
        <v>✔ OK</v>
      </c>
    </row>
    <row r="1067" spans="1:12" x14ac:dyDescent="0.3">
      <c r="A1067" t="s">
        <v>1528</v>
      </c>
      <c r="B1067" t="s">
        <v>262</v>
      </c>
      <c r="C1067" t="str">
        <f>IF(SessionMovements[[#This Row],[MovementID]]="","",
   _xlfn.XLOOKUP(SessionMovements[[#This Row],[MovementID]],MovementLibrary[MovementID],MovementLibrary[Name],"")
)</f>
        <v>Strict Press</v>
      </c>
      <c r="D1067" s="5" t="str">
        <f>IF(SessionMovements[[#This Row],[MovementID]]="","",
   _xlfn.XLOOKUP(SessionMovements[[#This Row],[MovementID]], MovementLibrary[MovementID], MovementLibrary[Modality], "")
)</f>
        <v>Barbell</v>
      </c>
      <c r="E1067" s="5" t="str">
        <f>IF(SessionMovements[[#This Row],[MovementID]]="","",
   _xlfn.XLOOKUP(SessionMovements[[#This Row],[MovementID]], MovementLibrary[MovementID], MovementLibrary[Unit], "")
)</f>
        <v>kg</v>
      </c>
      <c r="F106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7">
        <v>4</v>
      </c>
      <c r="H1067">
        <v>6</v>
      </c>
      <c r="I1067">
        <v>50</v>
      </c>
      <c r="L1067" s="5" t="str">
        <f>IF(COUNTIF(Sessions[SessionID],SessionMovements[[#This Row],[SessionID]])=0,"❌ Missing","✔ OK")</f>
        <v>✔ OK</v>
      </c>
    </row>
    <row r="1068" spans="1:12" x14ac:dyDescent="0.3">
      <c r="A1068" t="s">
        <v>1528</v>
      </c>
      <c r="B1068" t="s">
        <v>1507</v>
      </c>
      <c r="C1068" t="str">
        <f>IF(SessionMovements[[#This Row],[MovementID]]="","",
   _xlfn.XLOOKUP(SessionMovements[[#This Row],[MovementID]],MovementLibrary[MovementID],MovementLibrary[Name],"")
)</f>
        <v>Handstand Walk Taps</v>
      </c>
      <c r="D1068" s="5" t="str">
        <f>IF(SessionMovements[[#This Row],[MovementID]]="","",
   _xlfn.XLOOKUP(SessionMovements[[#This Row],[MovementID]], MovementLibrary[MovementID], MovementLibrary[Modality], "")
)</f>
        <v>Bodyweight</v>
      </c>
      <c r="E1068" s="5" t="str">
        <f>IF(SessionMovements[[#This Row],[MovementID]]="","",
   _xlfn.XLOOKUP(SessionMovements[[#This Row],[MovementID]], MovementLibrary[MovementID], MovementLibrary[Unit], "")
)</f>
        <v>reps</v>
      </c>
      <c r="F106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8">
        <v>4</v>
      </c>
      <c r="H1068">
        <v>20</v>
      </c>
      <c r="L1068" s="5" t="str">
        <f>IF(COUNTIF(Sessions[SessionID],SessionMovements[[#This Row],[SessionID]])=0,"❌ Missing","✔ OK")</f>
        <v>✔ OK</v>
      </c>
    </row>
    <row r="1069" spans="1:12" x14ac:dyDescent="0.3">
      <c r="A1069" t="s">
        <v>1528</v>
      </c>
      <c r="B1069" t="s">
        <v>1491</v>
      </c>
      <c r="C1069" t="str">
        <f>IF(SessionMovements[[#This Row],[MovementID]]="","",
   _xlfn.XLOOKUP(SessionMovements[[#This Row],[MovementID]],MovementLibrary[MovementID],MovementLibrary[Name],"")
)</f>
        <v>Jefferson Curl</v>
      </c>
      <c r="D1069" s="5" t="str">
        <f>IF(SessionMovements[[#This Row],[MovementID]]="","",
   _xlfn.XLOOKUP(SessionMovements[[#This Row],[MovementID]], MovementLibrary[MovementID], MovementLibrary[Modality], "")
)</f>
        <v>Barbell</v>
      </c>
      <c r="E1069" s="5" t="str">
        <f>IF(SessionMovements[[#This Row],[MovementID]]="","",
   _xlfn.XLOOKUP(SessionMovements[[#This Row],[MovementID]], MovementLibrary[MovementID], MovementLibrary[Unit], "")
)</f>
        <v>kg</v>
      </c>
      <c r="F106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69">
        <v>3</v>
      </c>
      <c r="H1069">
        <v>8</v>
      </c>
      <c r="I1069">
        <v>15</v>
      </c>
      <c r="K1069" t="s">
        <v>1548</v>
      </c>
      <c r="L1069" s="5" t="str">
        <f>IF(COUNTIF(Sessions[SessionID],SessionMovements[[#This Row],[SessionID]])=0,"❌ Missing","✔ OK")</f>
        <v>✔ OK</v>
      </c>
    </row>
    <row r="1070" spans="1:12" x14ac:dyDescent="0.3">
      <c r="A1070" t="s">
        <v>1523</v>
      </c>
      <c r="B1070" t="s">
        <v>527</v>
      </c>
      <c r="C1070" t="str">
        <f>IF(SessionMovements[[#This Row],[MovementID]]="","",
   _xlfn.XLOOKUP(SessionMovements[[#This Row],[MovementID]],MovementLibrary[MovementID],MovementLibrary[Name],"")
)</f>
        <v>L-Sit Hold</v>
      </c>
      <c r="D1070" s="5" t="str">
        <f>IF(SessionMovements[[#This Row],[MovementID]]="","",
   _xlfn.XLOOKUP(SessionMovements[[#This Row],[MovementID]], MovementLibrary[MovementID], MovementLibrary[Modality], "")
)</f>
        <v>Gymnastics</v>
      </c>
      <c r="E1070" s="5" t="str">
        <f>IF(SessionMovements[[#This Row],[MovementID]]="","",
   _xlfn.XLOOKUP(SessionMovements[[#This Row],[MovementID]], MovementLibrary[MovementID], MovementLibrary[Unit], "")
)</f>
        <v>sec</v>
      </c>
      <c r="F107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0">
        <v>4</v>
      </c>
      <c r="H1070">
        <v>30</v>
      </c>
      <c r="L1070" s="5" t="str">
        <f>IF(COUNTIF(Sessions[SessionID],SessionMovements[[#This Row],[SessionID]])=0,"❌ Missing","✔ OK")</f>
        <v>✔ OK</v>
      </c>
    </row>
    <row r="1071" spans="1:12" x14ac:dyDescent="0.3">
      <c r="A1071" t="s">
        <v>1523</v>
      </c>
      <c r="B1071" t="s">
        <v>1491</v>
      </c>
      <c r="C1071" t="str">
        <f>IF(SessionMovements[[#This Row],[MovementID]]="","",
   _xlfn.XLOOKUP(SessionMovements[[#This Row],[MovementID]],MovementLibrary[MovementID],MovementLibrary[Name],"")
)</f>
        <v>Jefferson Curl</v>
      </c>
      <c r="D1071" s="5" t="str">
        <f>IF(SessionMovements[[#This Row],[MovementID]]="","",
   _xlfn.XLOOKUP(SessionMovements[[#This Row],[MovementID]], MovementLibrary[MovementID], MovementLibrary[Modality], "")
)</f>
        <v>Barbell</v>
      </c>
      <c r="E1071" s="5" t="str">
        <f>IF(SessionMovements[[#This Row],[MovementID]]="","",
   _xlfn.XLOOKUP(SessionMovements[[#This Row],[MovementID]], MovementLibrary[MovementID], MovementLibrary[Unit], "")
)</f>
        <v>kg</v>
      </c>
      <c r="F107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1">
        <v>3</v>
      </c>
      <c r="H1071">
        <v>8</v>
      </c>
      <c r="I1071">
        <v>15</v>
      </c>
      <c r="K1071" t="s">
        <v>1548</v>
      </c>
      <c r="L1071" s="5" t="str">
        <f>IF(COUNTIF(Sessions[SessionID],SessionMovements[[#This Row],[SessionID]])=0,"❌ Missing","✔ OK")</f>
        <v>✔ OK</v>
      </c>
    </row>
    <row r="1072" spans="1:12" x14ac:dyDescent="0.3">
      <c r="A1072" t="s">
        <v>1523</v>
      </c>
      <c r="B1072" t="s">
        <v>1512</v>
      </c>
      <c r="C1072" t="str">
        <f>IF(SessionMovements[[#This Row],[MovementID]]="","",
   _xlfn.XLOOKUP(SessionMovements[[#This Row],[MovementID]],MovementLibrary[MovementID],MovementLibrary[Name],"")
)</f>
        <v>Strict Chest to Bar</v>
      </c>
      <c r="D1072" s="5" t="str">
        <f>IF(SessionMovements[[#This Row],[MovementID]]="","",
   _xlfn.XLOOKUP(SessionMovements[[#This Row],[MovementID]], MovementLibrary[MovementID], MovementLibrary[Modality], "")
)</f>
        <v>Bodyweight</v>
      </c>
      <c r="E1072" s="5" t="str">
        <f>IF(SessionMovements[[#This Row],[MovementID]]="","",
   _xlfn.XLOOKUP(SessionMovements[[#This Row],[MovementID]], MovementLibrary[MovementID], MovementLibrary[Unit], "")
)</f>
        <v>reps</v>
      </c>
      <c r="F107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2">
        <v>6</v>
      </c>
      <c r="H1072">
        <v>3</v>
      </c>
      <c r="L1072" s="5" t="str">
        <f>IF(COUNTIF(Sessions[SessionID],SessionMovements[[#This Row],[SessionID]])=0,"❌ Missing","✔ OK")</f>
        <v>✔ OK</v>
      </c>
    </row>
    <row r="1073" spans="1:12" x14ac:dyDescent="0.3">
      <c r="A1073" t="s">
        <v>1523</v>
      </c>
      <c r="B1073" t="s">
        <v>1555</v>
      </c>
      <c r="C1073" t="str">
        <f>IF(SessionMovements[[#This Row],[MovementID]]="","",
   _xlfn.XLOOKUP(SessionMovements[[#This Row],[MovementID]],MovementLibrary[MovementID],MovementLibrary[Name],"")
)</f>
        <v>Weighted Pec stretch</v>
      </c>
      <c r="D1073" s="5" t="str">
        <f>IF(SessionMovements[[#This Row],[MovementID]]="","",
   _xlfn.XLOOKUP(SessionMovements[[#This Row],[MovementID]], MovementLibrary[MovementID], MovementLibrary[Modality], "")
)</f>
        <v>Bodyweight</v>
      </c>
      <c r="E1073" s="5" t="str">
        <f>IF(SessionMovements[[#This Row],[MovementID]]="","",
   _xlfn.XLOOKUP(SessionMovements[[#This Row],[MovementID]], MovementLibrary[MovementID], MovementLibrary[Unit], "")
)</f>
        <v>kg</v>
      </c>
      <c r="F107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3">
        <v>3</v>
      </c>
      <c r="H1073">
        <v>90</v>
      </c>
      <c r="L1073" s="5" t="str">
        <f>IF(COUNTIF(Sessions[SessionID],SessionMovements[[#This Row],[SessionID]])=0,"❌ Missing","✔ OK")</f>
        <v>✔ OK</v>
      </c>
    </row>
    <row r="1074" spans="1:12" x14ac:dyDescent="0.3">
      <c r="A1074" t="s">
        <v>1529</v>
      </c>
      <c r="B1074" t="s">
        <v>1518</v>
      </c>
      <c r="C1074" t="str">
        <f>IF(SessionMovements[[#This Row],[MovementID]]="","",
   _xlfn.XLOOKUP(SessionMovements[[#This Row],[MovementID]],MovementLibrary[MovementID],MovementLibrary[Name],"")
)</f>
        <v>KOT Calf Rasiers</v>
      </c>
      <c r="D1074" s="5" t="str">
        <f>IF(SessionMovements[[#This Row],[MovementID]]="","",
   _xlfn.XLOOKUP(SessionMovements[[#This Row],[MovementID]], MovementLibrary[MovementID], MovementLibrary[Modality], "")
)</f>
        <v>Bodyweight</v>
      </c>
      <c r="E1074" s="5" t="str">
        <f>IF(SessionMovements[[#This Row],[MovementID]]="","",
   _xlfn.XLOOKUP(SessionMovements[[#This Row],[MovementID]], MovementLibrary[MovementID], MovementLibrary[Unit], "")
)</f>
        <v>kg</v>
      </c>
      <c r="F107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4">
        <v>3</v>
      </c>
      <c r="H1074">
        <v>20</v>
      </c>
      <c r="L1074" s="5" t="str">
        <f>IF(COUNTIF(Sessions[SessionID],SessionMovements[[#This Row],[SessionID]])=0,"❌ Missing","✔ OK")</f>
        <v>✔ OK</v>
      </c>
    </row>
    <row r="1075" spans="1:12" x14ac:dyDescent="0.3">
      <c r="A1075" t="s">
        <v>1529</v>
      </c>
      <c r="B1075" t="s">
        <v>651</v>
      </c>
      <c r="C1075" t="str">
        <f>IF(SessionMovements[[#This Row],[MovementID]]="","",
   _xlfn.XLOOKUP(SessionMovements[[#This Row],[MovementID]],MovementLibrary[MovementID],MovementLibrary[Name],"")
)</f>
        <v>Segmented Snatch Deadlift (1" + knee)</v>
      </c>
      <c r="D1075" s="5" t="str">
        <f>IF(SessionMovements[[#This Row],[MovementID]]="","",
   _xlfn.XLOOKUP(SessionMovements[[#This Row],[MovementID]], MovementLibrary[MovementID], MovementLibrary[Modality], "")
)</f>
        <v>Barbell</v>
      </c>
      <c r="E1075" s="5" t="str">
        <f>IF(SessionMovements[[#This Row],[MovementID]]="","",
   _xlfn.XLOOKUP(SessionMovements[[#This Row],[MovementID]], MovementLibrary[MovementID], MovementLibrary[Unit], "")
)</f>
        <v>kg</v>
      </c>
      <c r="F107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5">
        <v>6</v>
      </c>
      <c r="H1075">
        <v>3</v>
      </c>
      <c r="I1075">
        <v>55</v>
      </c>
      <c r="L1075" s="5" t="str">
        <f>IF(COUNTIF(Sessions[SessionID],SessionMovements[[#This Row],[SessionID]])=0,"❌ Missing","✔ OK")</f>
        <v>✔ OK</v>
      </c>
    </row>
    <row r="1076" spans="1:12" x14ac:dyDescent="0.3">
      <c r="A1076" t="s">
        <v>1529</v>
      </c>
      <c r="B1076" t="s">
        <v>1557</v>
      </c>
      <c r="C1076" t="str">
        <f>IF(SessionMovements[[#This Row],[MovementID]]="","",
   _xlfn.XLOOKUP(SessionMovements[[#This Row],[MovementID]],MovementLibrary[MovementID],MovementLibrary[Name],"")
)</f>
        <v>Crow Pose</v>
      </c>
      <c r="D1076" s="5" t="str">
        <f>IF(SessionMovements[[#This Row],[MovementID]]="","",
   _xlfn.XLOOKUP(SessionMovements[[#This Row],[MovementID]], MovementLibrary[MovementID], MovementLibrary[Modality], "")
)</f>
        <v>Gymnastic</v>
      </c>
      <c r="E1076" s="5" t="str">
        <f>IF(SessionMovements[[#This Row],[MovementID]]="","",
   _xlfn.XLOOKUP(SessionMovements[[#This Row],[MovementID]], MovementLibrary[MovementID], MovementLibrary[Unit], "")
)</f>
        <v>sec</v>
      </c>
      <c r="F107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6">
        <v>4</v>
      </c>
      <c r="H1076">
        <v>45</v>
      </c>
      <c r="L1076" s="5" t="str">
        <f>IF(COUNTIF(Sessions[SessionID],SessionMovements[[#This Row],[SessionID]])=0,"❌ Missing","✔ OK")</f>
        <v>✔ OK</v>
      </c>
    </row>
    <row r="1077" spans="1:12" x14ac:dyDescent="0.3">
      <c r="A1077" t="s">
        <v>1529</v>
      </c>
      <c r="B1077" t="s">
        <v>530</v>
      </c>
      <c r="C1077" t="str">
        <f>IF(SessionMovements[[#This Row],[MovementID]]="","",
   _xlfn.XLOOKUP(SessionMovements[[#This Row],[MovementID]],MovementLibrary[MovementID],MovementLibrary[Name],"")
)</f>
        <v>Hollow Hold</v>
      </c>
      <c r="D1077" s="5" t="str">
        <f>IF(SessionMovements[[#This Row],[MovementID]]="","",
   _xlfn.XLOOKUP(SessionMovements[[#This Row],[MovementID]], MovementLibrary[MovementID], MovementLibrary[Modality], "")
)</f>
        <v>Gymnastics</v>
      </c>
      <c r="E1077" s="5" t="str">
        <f>IF(SessionMovements[[#This Row],[MovementID]]="","",
   _xlfn.XLOOKUP(SessionMovements[[#This Row],[MovementID]], MovementLibrary[MovementID], MovementLibrary[Unit], "")
)</f>
        <v>sec</v>
      </c>
      <c r="F107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7">
        <v>3</v>
      </c>
      <c r="H1077">
        <v>45</v>
      </c>
      <c r="L1077" s="5" t="str">
        <f>IF(COUNTIF(Sessions[SessionID],SessionMovements[[#This Row],[SessionID]])=0,"❌ Missing","✔ OK")</f>
        <v>✔ OK</v>
      </c>
    </row>
    <row r="1078" spans="1:12" x14ac:dyDescent="0.3">
      <c r="A1078" t="s">
        <v>1530</v>
      </c>
      <c r="B1078" t="s">
        <v>1483</v>
      </c>
      <c r="C1078" t="str">
        <f>IF(SessionMovements[[#This Row],[MovementID]]="","",
   _xlfn.XLOOKUP(SessionMovements[[#This Row],[MovementID]],MovementLibrary[MovementID],MovementLibrary[Name],"")
)</f>
        <v>Tibialis Raise</v>
      </c>
      <c r="D1078" s="5" t="str">
        <f>IF(SessionMovements[[#This Row],[MovementID]]="","",
   _xlfn.XLOOKUP(SessionMovements[[#This Row],[MovementID]], MovementLibrary[MovementID], MovementLibrary[Modality], "")
)</f>
        <v>Bodyweight</v>
      </c>
      <c r="E1078" s="5" t="str">
        <f>IF(SessionMovements[[#This Row],[MovementID]]="","",
   _xlfn.XLOOKUP(SessionMovements[[#This Row],[MovementID]], MovementLibrary[MovementID], MovementLibrary[Unit], "")
)</f>
        <v>reps</v>
      </c>
      <c r="F107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8">
        <v>3</v>
      </c>
      <c r="H1078">
        <v>25</v>
      </c>
      <c r="K1078" t="s">
        <v>1546</v>
      </c>
      <c r="L1078" s="5" t="str">
        <f>IF(COUNTIF(Sessions[SessionID],SessionMovements[[#This Row],[SessionID]])=0,"❌ Missing","✔ OK")</f>
        <v>✔ OK</v>
      </c>
    </row>
    <row r="1079" spans="1:12" x14ac:dyDescent="0.3">
      <c r="A1079" t="s">
        <v>1530</v>
      </c>
      <c r="B1079" t="s">
        <v>1485</v>
      </c>
      <c r="C1079" t="str">
        <f>IF(SessionMovements[[#This Row],[MovementID]]="","",
   _xlfn.XLOOKUP(SessionMovements[[#This Row],[MovementID]],MovementLibrary[MovementID],MovementLibrary[Name],"")
)</f>
        <v>ATG Split Squat</v>
      </c>
      <c r="D1079" s="5" t="str">
        <f>IF(SessionMovements[[#This Row],[MovementID]]="","",
   _xlfn.XLOOKUP(SessionMovements[[#This Row],[MovementID]], MovementLibrary[MovementID], MovementLibrary[Modality], "")
)</f>
        <v>Bodyweight</v>
      </c>
      <c r="E1079" s="5" t="str">
        <f>IF(SessionMovements[[#This Row],[MovementID]]="","",
   _xlfn.XLOOKUP(SessionMovements[[#This Row],[MovementID]], MovementLibrary[MovementID], MovementLibrary[Unit], "")
)</f>
        <v>kg</v>
      </c>
      <c r="F107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79">
        <v>5</v>
      </c>
      <c r="H1079">
        <v>5</v>
      </c>
      <c r="L1079" s="5" t="str">
        <f>IF(COUNTIF(Sessions[SessionID],SessionMovements[[#This Row],[SessionID]])=0,"❌ Missing","✔ OK")</f>
        <v>✔ OK</v>
      </c>
    </row>
    <row r="1080" spans="1:12" x14ac:dyDescent="0.3">
      <c r="A1080" t="s">
        <v>1530</v>
      </c>
      <c r="B1080" t="s">
        <v>1489</v>
      </c>
      <c r="C1080" t="str">
        <f>IF(SessionMovements[[#This Row],[MovementID]]="","",
   _xlfn.XLOOKUP(SessionMovements[[#This Row],[MovementID]],MovementLibrary[MovementID],MovementLibrary[Name],"")
)</f>
        <v>Sotts Press</v>
      </c>
      <c r="D1080" s="5" t="str">
        <f>IF(SessionMovements[[#This Row],[MovementID]]="","",
   _xlfn.XLOOKUP(SessionMovements[[#This Row],[MovementID]], MovementLibrary[MovementID], MovementLibrary[Modality], "")
)</f>
        <v>Barbell</v>
      </c>
      <c r="E1080" s="5" t="str">
        <f>IF(SessionMovements[[#This Row],[MovementID]]="","",
   _xlfn.XLOOKUP(SessionMovements[[#This Row],[MovementID]], MovementLibrary[MovementID], MovementLibrary[Unit], "")
)</f>
        <v>kg</v>
      </c>
      <c r="F108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0">
        <v>3</v>
      </c>
      <c r="H1080">
        <v>8</v>
      </c>
      <c r="I1080">
        <v>15</v>
      </c>
      <c r="K1080" t="s">
        <v>1548</v>
      </c>
      <c r="L1080" s="5" t="str">
        <f>IF(COUNTIF(Sessions[SessionID],SessionMovements[[#This Row],[SessionID]])=0,"❌ Missing","✔ OK")</f>
        <v>✔ OK</v>
      </c>
    </row>
    <row r="1081" spans="1:12" x14ac:dyDescent="0.3">
      <c r="A1081" t="s">
        <v>1530</v>
      </c>
      <c r="B1081" t="s">
        <v>1497</v>
      </c>
      <c r="C1081" t="str">
        <f>IF(SessionMovements[[#This Row],[MovementID]]="","",
   _xlfn.XLOOKUP(SessionMovements[[#This Row],[MovementID]],MovementLibrary[MovementID],MovementLibrary[Name],"")
)</f>
        <v>BMU Hip-to-Bar Drill</v>
      </c>
      <c r="D1081" s="5" t="str">
        <f>IF(SessionMovements[[#This Row],[MovementID]]="","",
   _xlfn.XLOOKUP(SessionMovements[[#This Row],[MovementID]], MovementLibrary[MovementID], MovementLibrary[Modality], "")
)</f>
        <v>Bodyweight</v>
      </c>
      <c r="E1081" s="5" t="str">
        <f>IF(SessionMovements[[#This Row],[MovementID]]="","",
   _xlfn.XLOOKUP(SessionMovements[[#This Row],[MovementID]], MovementLibrary[MovementID], MovementLibrary[Unit], "")
)</f>
        <v>reps</v>
      </c>
      <c r="F108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1">
        <v>6</v>
      </c>
      <c r="H1081">
        <v>3</v>
      </c>
      <c r="L1081" s="5" t="str">
        <f>IF(COUNTIF(Sessions[SessionID],SessionMovements[[#This Row],[SessionID]])=0,"❌ Missing","✔ OK")</f>
        <v>✔ OK</v>
      </c>
    </row>
    <row r="1082" spans="1:12" x14ac:dyDescent="0.3">
      <c r="A1082" t="s">
        <v>1531</v>
      </c>
      <c r="B1082" t="s">
        <v>1483</v>
      </c>
      <c r="C1082" t="str">
        <f>IF(SessionMovements[[#This Row],[MovementID]]="","",
   _xlfn.XLOOKUP(SessionMovements[[#This Row],[MovementID]],MovementLibrary[MovementID],MovementLibrary[Name],"")
)</f>
        <v>Tibialis Raise</v>
      </c>
      <c r="D1082" s="5" t="str">
        <f>IF(SessionMovements[[#This Row],[MovementID]]="","",
   _xlfn.XLOOKUP(SessionMovements[[#This Row],[MovementID]], MovementLibrary[MovementID], MovementLibrary[Modality], "")
)</f>
        <v>Bodyweight</v>
      </c>
      <c r="E1082" s="5" t="str">
        <f>IF(SessionMovements[[#This Row],[MovementID]]="","",
   _xlfn.XLOOKUP(SessionMovements[[#This Row],[MovementID]], MovementLibrary[MovementID], MovementLibrary[Unit], "")
)</f>
        <v>reps</v>
      </c>
      <c r="F108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2">
        <v>3</v>
      </c>
      <c r="H1082">
        <v>25</v>
      </c>
      <c r="K1082" t="s">
        <v>1546</v>
      </c>
      <c r="L1082" s="5" t="str">
        <f>IF(COUNTIF(Sessions[SessionID],SessionMovements[[#This Row],[SessionID]])=0,"❌ Missing","✔ OK")</f>
        <v>✔ OK</v>
      </c>
    </row>
    <row r="1083" spans="1:12" x14ac:dyDescent="0.3">
      <c r="A1083" t="s">
        <v>1531</v>
      </c>
      <c r="B1083" t="s">
        <v>1485</v>
      </c>
      <c r="C1083" t="str">
        <f>IF(SessionMovements[[#This Row],[MovementID]]="","",
   _xlfn.XLOOKUP(SessionMovements[[#This Row],[MovementID]],MovementLibrary[MovementID],MovementLibrary[Name],"")
)</f>
        <v>ATG Split Squat</v>
      </c>
      <c r="D1083" s="5" t="str">
        <f>IF(SessionMovements[[#This Row],[MovementID]]="","",
   _xlfn.XLOOKUP(SessionMovements[[#This Row],[MovementID]], MovementLibrary[MovementID], MovementLibrary[Modality], "")
)</f>
        <v>Bodyweight</v>
      </c>
      <c r="E1083" s="5" t="str">
        <f>IF(SessionMovements[[#This Row],[MovementID]]="","",
   _xlfn.XLOOKUP(SessionMovements[[#This Row],[MovementID]], MovementLibrary[MovementID], MovementLibrary[Unit], "")
)</f>
        <v>kg</v>
      </c>
      <c r="F108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3">
        <v>5</v>
      </c>
      <c r="H1083">
        <v>5</v>
      </c>
      <c r="L1083" s="5" t="str">
        <f>IF(COUNTIF(Sessions[SessionID],SessionMovements[[#This Row],[SessionID]])=0,"❌ Missing","✔ OK")</f>
        <v>✔ OK</v>
      </c>
    </row>
    <row r="1084" spans="1:12" x14ac:dyDescent="0.3">
      <c r="A1084" t="s">
        <v>1531</v>
      </c>
      <c r="B1084" t="s">
        <v>1489</v>
      </c>
      <c r="C1084" t="str">
        <f>IF(SessionMovements[[#This Row],[MovementID]]="","",
   _xlfn.XLOOKUP(SessionMovements[[#This Row],[MovementID]],MovementLibrary[MovementID],MovementLibrary[Name],"")
)</f>
        <v>Sotts Press</v>
      </c>
      <c r="D1084" s="5" t="str">
        <f>IF(SessionMovements[[#This Row],[MovementID]]="","",
   _xlfn.XLOOKUP(SessionMovements[[#This Row],[MovementID]], MovementLibrary[MovementID], MovementLibrary[Modality], "")
)</f>
        <v>Barbell</v>
      </c>
      <c r="E1084" s="5" t="str">
        <f>IF(SessionMovements[[#This Row],[MovementID]]="","",
   _xlfn.XLOOKUP(SessionMovements[[#This Row],[MovementID]], MovementLibrary[MovementID], MovementLibrary[Unit], "")
)</f>
        <v>kg</v>
      </c>
      <c r="F108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4">
        <v>3</v>
      </c>
      <c r="H1084">
        <v>8</v>
      </c>
      <c r="I1084">
        <v>15</v>
      </c>
      <c r="K1084" t="s">
        <v>1548</v>
      </c>
      <c r="L1084" s="5" t="str">
        <f>IF(COUNTIF(Sessions[SessionID],SessionMovements[[#This Row],[SessionID]])=0,"❌ Missing","✔ OK")</f>
        <v>✔ OK</v>
      </c>
    </row>
    <row r="1085" spans="1:12" x14ac:dyDescent="0.3">
      <c r="A1085" t="s">
        <v>1531</v>
      </c>
      <c r="B1085" t="s">
        <v>1503</v>
      </c>
      <c r="C1085" t="str">
        <f>IF(SessionMovements[[#This Row],[MovementID]]="","",
   _xlfn.XLOOKUP(SessionMovements[[#This Row],[MovementID]],MovementLibrary[MovementID],MovementLibrary[Name],"")
)</f>
        <v>Pistol Squat Neg</v>
      </c>
      <c r="D1085" s="5" t="str">
        <f>IF(SessionMovements[[#This Row],[MovementID]]="","",
   _xlfn.XLOOKUP(SessionMovements[[#This Row],[MovementID]], MovementLibrary[MovementID], MovementLibrary[Modality], "")
)</f>
        <v>Bodyweight</v>
      </c>
      <c r="E1085" s="5" t="str">
        <f>IF(SessionMovements[[#This Row],[MovementID]]="","",
   _xlfn.XLOOKUP(SessionMovements[[#This Row],[MovementID]], MovementLibrary[MovementID], MovementLibrary[Unit], "")
)</f>
        <v>reps</v>
      </c>
      <c r="F108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5">
        <v>3</v>
      </c>
      <c r="H1085">
        <v>5</v>
      </c>
      <c r="K1085" t="s">
        <v>1550</v>
      </c>
      <c r="L1085" s="5" t="str">
        <f>IF(COUNTIF(Sessions[SessionID],SessionMovements[[#This Row],[SessionID]])=0,"❌ Missing","✔ OK")</f>
        <v>✔ OK</v>
      </c>
    </row>
    <row r="1086" spans="1:12" x14ac:dyDescent="0.3">
      <c r="A1086" t="s">
        <v>1532</v>
      </c>
      <c r="B1086" t="s">
        <v>1487</v>
      </c>
      <c r="C1086" t="str">
        <f>IF(SessionMovements[[#This Row],[MovementID]]="","",
   _xlfn.XLOOKUP(SessionMovements[[#This Row],[MovementID]],MovementLibrary[MovementID],MovementLibrary[Name],"")
)</f>
        <v>Patrick Step</v>
      </c>
      <c r="D1086" s="5" t="str">
        <f>IF(SessionMovements[[#This Row],[MovementID]]="","",
   _xlfn.XLOOKUP(SessionMovements[[#This Row],[MovementID]], MovementLibrary[MovementID], MovementLibrary[Modality], "")
)</f>
        <v>Bodyweight</v>
      </c>
      <c r="E1086" s="5" t="str">
        <f>IF(SessionMovements[[#This Row],[MovementID]]="","",
   _xlfn.XLOOKUP(SessionMovements[[#This Row],[MovementID]], MovementLibrary[MovementID], MovementLibrary[Unit], "")
)</f>
        <v>reps</v>
      </c>
      <c r="F108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6">
        <v>3</v>
      </c>
      <c r="H1086">
        <v>25</v>
      </c>
      <c r="L1086" s="5" t="str">
        <f>IF(COUNTIF(Sessions[SessionID],SessionMovements[[#This Row],[SessionID]])=0,"❌ Missing","✔ OK")</f>
        <v>✔ OK</v>
      </c>
    </row>
    <row r="1087" spans="1:12" x14ac:dyDescent="0.3">
      <c r="A1087" t="s">
        <v>1532</v>
      </c>
      <c r="B1087" t="s">
        <v>262</v>
      </c>
      <c r="C1087" t="str">
        <f>IF(SessionMovements[[#This Row],[MovementID]]="","",
   _xlfn.XLOOKUP(SessionMovements[[#This Row],[MovementID]],MovementLibrary[MovementID],MovementLibrary[Name],"")
)</f>
        <v>Strict Press</v>
      </c>
      <c r="D1087" s="5" t="str">
        <f>IF(SessionMovements[[#This Row],[MovementID]]="","",
   _xlfn.XLOOKUP(SessionMovements[[#This Row],[MovementID]], MovementLibrary[MovementID], MovementLibrary[Modality], "")
)</f>
        <v>Barbell</v>
      </c>
      <c r="E1087" s="5" t="str">
        <f>IF(SessionMovements[[#This Row],[MovementID]]="","",
   _xlfn.XLOOKUP(SessionMovements[[#This Row],[MovementID]], MovementLibrary[MovementID], MovementLibrary[Unit], "")
)</f>
        <v>kg</v>
      </c>
      <c r="F108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7">
        <v>4</v>
      </c>
      <c r="H1087">
        <v>6</v>
      </c>
      <c r="I1087">
        <v>52.5</v>
      </c>
      <c r="L1087" s="5" t="str">
        <f>IF(COUNTIF(Sessions[SessionID],SessionMovements[[#This Row],[SessionID]])=0,"❌ Missing","✔ OK")</f>
        <v>✔ OK</v>
      </c>
    </row>
    <row r="1088" spans="1:12" x14ac:dyDescent="0.3">
      <c r="A1088" t="s">
        <v>1532</v>
      </c>
      <c r="B1088" t="s">
        <v>1507</v>
      </c>
      <c r="C1088" t="str">
        <f>IF(SessionMovements[[#This Row],[MovementID]]="","",
   _xlfn.XLOOKUP(SessionMovements[[#This Row],[MovementID]],MovementLibrary[MovementID],MovementLibrary[Name],"")
)</f>
        <v>Handstand Walk Taps</v>
      </c>
      <c r="D1088" s="5" t="str">
        <f>IF(SessionMovements[[#This Row],[MovementID]]="","",
   _xlfn.XLOOKUP(SessionMovements[[#This Row],[MovementID]], MovementLibrary[MovementID], MovementLibrary[Modality], "")
)</f>
        <v>Bodyweight</v>
      </c>
      <c r="E1088" s="5" t="str">
        <f>IF(SessionMovements[[#This Row],[MovementID]]="","",
   _xlfn.XLOOKUP(SessionMovements[[#This Row],[MovementID]], MovementLibrary[MovementID], MovementLibrary[Unit], "")
)</f>
        <v>reps</v>
      </c>
      <c r="F108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8">
        <v>3</v>
      </c>
      <c r="H1088">
        <v>20</v>
      </c>
      <c r="L1088" s="5" t="str">
        <f>IF(COUNTIF(Sessions[SessionID],SessionMovements[[#This Row],[SessionID]])=0,"❌ Missing","✔ OK")</f>
        <v>✔ OK</v>
      </c>
    </row>
    <row r="1089" spans="1:12" x14ac:dyDescent="0.3">
      <c r="A1089" t="s">
        <v>1532</v>
      </c>
      <c r="B1089" t="s">
        <v>1491</v>
      </c>
      <c r="C1089" t="str">
        <f>IF(SessionMovements[[#This Row],[MovementID]]="","",
   _xlfn.XLOOKUP(SessionMovements[[#This Row],[MovementID]],MovementLibrary[MovementID],MovementLibrary[Name],"")
)</f>
        <v>Jefferson Curl</v>
      </c>
      <c r="D1089" s="5" t="str">
        <f>IF(SessionMovements[[#This Row],[MovementID]]="","",
   _xlfn.XLOOKUP(SessionMovements[[#This Row],[MovementID]], MovementLibrary[MovementID], MovementLibrary[Modality], "")
)</f>
        <v>Barbell</v>
      </c>
      <c r="E1089" s="5" t="str">
        <f>IF(SessionMovements[[#This Row],[MovementID]]="","",
   _xlfn.XLOOKUP(SessionMovements[[#This Row],[MovementID]], MovementLibrary[MovementID], MovementLibrary[Unit], "")
)</f>
        <v>kg</v>
      </c>
      <c r="F108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89">
        <v>3</v>
      </c>
      <c r="H1089">
        <v>8</v>
      </c>
      <c r="I1089">
        <v>15</v>
      </c>
      <c r="K1089" t="s">
        <v>1548</v>
      </c>
      <c r="L1089" s="5" t="str">
        <f>IF(COUNTIF(Sessions[SessionID],SessionMovements[[#This Row],[SessionID]])=0,"❌ Missing","✔ OK")</f>
        <v>✔ OK</v>
      </c>
    </row>
    <row r="1090" spans="1:12" x14ac:dyDescent="0.3">
      <c r="A1090" t="s">
        <v>1533</v>
      </c>
      <c r="B1090" t="s">
        <v>527</v>
      </c>
      <c r="C1090" t="str">
        <f>IF(SessionMovements[[#This Row],[MovementID]]="","",
   _xlfn.XLOOKUP(SessionMovements[[#This Row],[MovementID]],MovementLibrary[MovementID],MovementLibrary[Name],"")
)</f>
        <v>L-Sit Hold</v>
      </c>
      <c r="D1090" s="5" t="str">
        <f>IF(SessionMovements[[#This Row],[MovementID]]="","",
   _xlfn.XLOOKUP(SessionMovements[[#This Row],[MovementID]], MovementLibrary[MovementID], MovementLibrary[Modality], "")
)</f>
        <v>Gymnastics</v>
      </c>
      <c r="E1090" s="5" t="str">
        <f>IF(SessionMovements[[#This Row],[MovementID]]="","",
   _xlfn.XLOOKUP(SessionMovements[[#This Row],[MovementID]], MovementLibrary[MovementID], MovementLibrary[Unit], "")
)</f>
        <v>sec</v>
      </c>
      <c r="F109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0">
        <v>4</v>
      </c>
      <c r="H1090">
        <v>30</v>
      </c>
      <c r="L1090" s="5" t="str">
        <f>IF(COUNTIF(Sessions[SessionID],SessionMovements[[#This Row],[SessionID]])=0,"❌ Missing","✔ OK")</f>
        <v>✔ OK</v>
      </c>
    </row>
    <row r="1091" spans="1:12" x14ac:dyDescent="0.3">
      <c r="A1091" t="s">
        <v>1533</v>
      </c>
      <c r="B1091" t="s">
        <v>1491</v>
      </c>
      <c r="C1091" t="str">
        <f>IF(SessionMovements[[#This Row],[MovementID]]="","",
   _xlfn.XLOOKUP(SessionMovements[[#This Row],[MovementID]],MovementLibrary[MovementID],MovementLibrary[Name],"")
)</f>
        <v>Jefferson Curl</v>
      </c>
      <c r="D1091" s="5" t="str">
        <f>IF(SessionMovements[[#This Row],[MovementID]]="","",
   _xlfn.XLOOKUP(SessionMovements[[#This Row],[MovementID]], MovementLibrary[MovementID], MovementLibrary[Modality], "")
)</f>
        <v>Barbell</v>
      </c>
      <c r="E1091" s="5" t="str">
        <f>IF(SessionMovements[[#This Row],[MovementID]]="","",
   _xlfn.XLOOKUP(SessionMovements[[#This Row],[MovementID]], MovementLibrary[MovementID], MovementLibrary[Unit], "")
)</f>
        <v>kg</v>
      </c>
      <c r="F109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1">
        <v>3</v>
      </c>
      <c r="H1091">
        <v>8</v>
      </c>
      <c r="I1091">
        <v>15</v>
      </c>
      <c r="K1091" t="s">
        <v>1548</v>
      </c>
      <c r="L1091" s="5" t="str">
        <f>IF(COUNTIF(Sessions[SessionID],SessionMovements[[#This Row],[SessionID]])=0,"❌ Missing","✔ OK")</f>
        <v>✔ OK</v>
      </c>
    </row>
    <row r="1092" spans="1:12" x14ac:dyDescent="0.3">
      <c r="A1092" t="s">
        <v>1533</v>
      </c>
      <c r="B1092" t="s">
        <v>1512</v>
      </c>
      <c r="C1092" t="str">
        <f>IF(SessionMovements[[#This Row],[MovementID]]="","",
   _xlfn.XLOOKUP(SessionMovements[[#This Row],[MovementID]],MovementLibrary[MovementID],MovementLibrary[Name],"")
)</f>
        <v>Strict Chest to Bar</v>
      </c>
      <c r="D1092" s="5" t="str">
        <f>IF(SessionMovements[[#This Row],[MovementID]]="","",
   _xlfn.XLOOKUP(SessionMovements[[#This Row],[MovementID]], MovementLibrary[MovementID], MovementLibrary[Modality], "")
)</f>
        <v>Bodyweight</v>
      </c>
      <c r="E1092" s="5" t="str">
        <f>IF(SessionMovements[[#This Row],[MovementID]]="","",
   _xlfn.XLOOKUP(SessionMovements[[#This Row],[MovementID]], MovementLibrary[MovementID], MovementLibrary[Unit], "")
)</f>
        <v>reps</v>
      </c>
      <c r="F109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2">
        <v>6</v>
      </c>
      <c r="H1092">
        <v>3</v>
      </c>
      <c r="L1092" s="5" t="str">
        <f>IF(COUNTIF(Sessions[SessionID],SessionMovements[[#This Row],[SessionID]])=0,"❌ Missing","✔ OK")</f>
        <v>✔ OK</v>
      </c>
    </row>
    <row r="1093" spans="1:12" x14ac:dyDescent="0.3">
      <c r="A1093" t="s">
        <v>1533</v>
      </c>
      <c r="B1093" t="s">
        <v>1555</v>
      </c>
      <c r="C1093" t="str">
        <f>IF(SessionMovements[[#This Row],[MovementID]]="","",
   _xlfn.XLOOKUP(SessionMovements[[#This Row],[MovementID]],MovementLibrary[MovementID],MovementLibrary[Name],"")
)</f>
        <v>Weighted Pec stretch</v>
      </c>
      <c r="D1093" s="5" t="str">
        <f>IF(SessionMovements[[#This Row],[MovementID]]="","",
   _xlfn.XLOOKUP(SessionMovements[[#This Row],[MovementID]], MovementLibrary[MovementID], MovementLibrary[Modality], "")
)</f>
        <v>Bodyweight</v>
      </c>
      <c r="E1093" s="5" t="str">
        <f>IF(SessionMovements[[#This Row],[MovementID]]="","",
   _xlfn.XLOOKUP(SessionMovements[[#This Row],[MovementID]], MovementLibrary[MovementID], MovementLibrary[Unit], "")
)</f>
        <v>kg</v>
      </c>
      <c r="F109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3">
        <v>3</v>
      </c>
      <c r="H1093">
        <v>90</v>
      </c>
      <c r="L1093" s="5" t="str">
        <f>IF(COUNTIF(Sessions[SessionID],SessionMovements[[#This Row],[SessionID]])=0,"❌ Missing","✔ OK")</f>
        <v>✔ OK</v>
      </c>
    </row>
    <row r="1094" spans="1:12" x14ac:dyDescent="0.3">
      <c r="A1094" t="s">
        <v>1534</v>
      </c>
      <c r="B1094" t="s">
        <v>1518</v>
      </c>
      <c r="C1094" t="str">
        <f>IF(SessionMovements[[#This Row],[MovementID]]="","",
   _xlfn.XLOOKUP(SessionMovements[[#This Row],[MovementID]],MovementLibrary[MovementID],MovementLibrary[Name],"")
)</f>
        <v>KOT Calf Rasiers</v>
      </c>
      <c r="D1094" s="5" t="str">
        <f>IF(SessionMovements[[#This Row],[MovementID]]="","",
   _xlfn.XLOOKUP(SessionMovements[[#This Row],[MovementID]], MovementLibrary[MovementID], MovementLibrary[Modality], "")
)</f>
        <v>Bodyweight</v>
      </c>
      <c r="E1094" s="5" t="str">
        <f>IF(SessionMovements[[#This Row],[MovementID]]="","",
   _xlfn.XLOOKUP(SessionMovements[[#This Row],[MovementID]], MovementLibrary[MovementID], MovementLibrary[Unit], "")
)</f>
        <v>kg</v>
      </c>
      <c r="F109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4">
        <v>3</v>
      </c>
      <c r="H1094">
        <v>20</v>
      </c>
      <c r="L1094" s="5" t="str">
        <f>IF(COUNTIF(Sessions[SessionID],SessionMovements[[#This Row],[SessionID]])=0,"❌ Missing","✔ OK")</f>
        <v>✔ OK</v>
      </c>
    </row>
    <row r="1095" spans="1:12" x14ac:dyDescent="0.3">
      <c r="A1095" t="s">
        <v>1534</v>
      </c>
      <c r="B1095" t="s">
        <v>651</v>
      </c>
      <c r="C1095" t="str">
        <f>IF(SessionMovements[[#This Row],[MovementID]]="","",
   _xlfn.XLOOKUP(SessionMovements[[#This Row],[MovementID]],MovementLibrary[MovementID],MovementLibrary[Name],"")
)</f>
        <v>Segmented Snatch Deadlift (1" + knee)</v>
      </c>
      <c r="D1095" s="5" t="str">
        <f>IF(SessionMovements[[#This Row],[MovementID]]="","",
   _xlfn.XLOOKUP(SessionMovements[[#This Row],[MovementID]], MovementLibrary[MovementID], MovementLibrary[Modality], "")
)</f>
        <v>Barbell</v>
      </c>
      <c r="E1095" s="5" t="str">
        <f>IF(SessionMovements[[#This Row],[MovementID]]="","",
   _xlfn.XLOOKUP(SessionMovements[[#This Row],[MovementID]], MovementLibrary[MovementID], MovementLibrary[Unit], "")
)</f>
        <v>kg</v>
      </c>
      <c r="F109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5">
        <v>6</v>
      </c>
      <c r="H1095">
        <v>3</v>
      </c>
      <c r="I1095">
        <v>55</v>
      </c>
      <c r="K1095" t="s">
        <v>1553</v>
      </c>
      <c r="L1095" s="5" t="str">
        <f>IF(COUNTIF(Sessions[SessionID],SessionMovements[[#This Row],[SessionID]])=0,"❌ Missing","✔ OK")</f>
        <v>✔ OK</v>
      </c>
    </row>
    <row r="1096" spans="1:12" x14ac:dyDescent="0.3">
      <c r="A1096" t="s">
        <v>1534</v>
      </c>
      <c r="B1096" t="s">
        <v>1557</v>
      </c>
      <c r="C1096" t="str">
        <f>IF(SessionMovements[[#This Row],[MovementID]]="","",
   _xlfn.XLOOKUP(SessionMovements[[#This Row],[MovementID]],MovementLibrary[MovementID],MovementLibrary[Name],"")
)</f>
        <v>Crow Pose</v>
      </c>
      <c r="D1096" s="5" t="str">
        <f>IF(SessionMovements[[#This Row],[MovementID]]="","",
   _xlfn.XLOOKUP(SessionMovements[[#This Row],[MovementID]], MovementLibrary[MovementID], MovementLibrary[Modality], "")
)</f>
        <v>Gymnastic</v>
      </c>
      <c r="E1096" s="5" t="str">
        <f>IF(SessionMovements[[#This Row],[MovementID]]="","",
   _xlfn.XLOOKUP(SessionMovements[[#This Row],[MovementID]], MovementLibrary[MovementID], MovementLibrary[Unit], "")
)</f>
        <v>sec</v>
      </c>
      <c r="F109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6">
        <v>4</v>
      </c>
      <c r="H1096">
        <v>45</v>
      </c>
      <c r="L1096" s="5" t="str">
        <f>IF(COUNTIF(Sessions[SessionID],SessionMovements[[#This Row],[SessionID]])=0,"❌ Missing","✔ OK")</f>
        <v>✔ OK</v>
      </c>
    </row>
    <row r="1097" spans="1:12" x14ac:dyDescent="0.3">
      <c r="A1097" t="s">
        <v>1534</v>
      </c>
      <c r="B1097" t="s">
        <v>530</v>
      </c>
      <c r="C1097" t="str">
        <f>IF(SessionMovements[[#This Row],[MovementID]]="","",
   _xlfn.XLOOKUP(SessionMovements[[#This Row],[MovementID]],MovementLibrary[MovementID],MovementLibrary[Name],"")
)</f>
        <v>Hollow Hold</v>
      </c>
      <c r="D1097" s="5" t="str">
        <f>IF(SessionMovements[[#This Row],[MovementID]]="","",
   _xlfn.XLOOKUP(SessionMovements[[#This Row],[MovementID]], MovementLibrary[MovementID], MovementLibrary[Modality], "")
)</f>
        <v>Gymnastics</v>
      </c>
      <c r="E1097" s="5" t="str">
        <f>IF(SessionMovements[[#This Row],[MovementID]]="","",
   _xlfn.XLOOKUP(SessionMovements[[#This Row],[MovementID]], MovementLibrary[MovementID], MovementLibrary[Unit], "")
)</f>
        <v>sec</v>
      </c>
      <c r="F109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7">
        <v>3</v>
      </c>
      <c r="H1097">
        <v>45</v>
      </c>
      <c r="L1097" s="5" t="str">
        <f>IF(COUNTIF(Sessions[SessionID],SessionMovements[[#This Row],[SessionID]])=0,"❌ Missing","✔ OK")</f>
        <v>✔ OK</v>
      </c>
    </row>
    <row r="1098" spans="1:12" x14ac:dyDescent="0.3">
      <c r="A1098" t="s">
        <v>1535</v>
      </c>
      <c r="B1098" t="s">
        <v>1483</v>
      </c>
      <c r="C1098" t="str">
        <f>IF(SessionMovements[[#This Row],[MovementID]]="","",
   _xlfn.XLOOKUP(SessionMovements[[#This Row],[MovementID]],MovementLibrary[MovementID],MovementLibrary[Name],"")
)</f>
        <v>Tibialis Raise</v>
      </c>
      <c r="D1098" s="5" t="str">
        <f>IF(SessionMovements[[#This Row],[MovementID]]="","",
   _xlfn.XLOOKUP(SessionMovements[[#This Row],[MovementID]], MovementLibrary[MovementID], MovementLibrary[Modality], "")
)</f>
        <v>Bodyweight</v>
      </c>
      <c r="E1098" s="5" t="str">
        <f>IF(SessionMovements[[#This Row],[MovementID]]="","",
   _xlfn.XLOOKUP(SessionMovements[[#This Row],[MovementID]], MovementLibrary[MovementID], MovementLibrary[Unit], "")
)</f>
        <v>reps</v>
      </c>
      <c r="F109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8">
        <v>3</v>
      </c>
      <c r="H1098">
        <v>25</v>
      </c>
      <c r="K1098" t="s">
        <v>1546</v>
      </c>
      <c r="L1098" s="5" t="str">
        <f>IF(COUNTIF(Sessions[SessionID],SessionMovements[[#This Row],[SessionID]])=0,"❌ Missing","✔ OK")</f>
        <v>✔ OK</v>
      </c>
    </row>
    <row r="1099" spans="1:12" x14ac:dyDescent="0.3">
      <c r="A1099" t="s">
        <v>1535</v>
      </c>
      <c r="B1099" t="s">
        <v>1485</v>
      </c>
      <c r="C1099" t="str">
        <f>IF(SessionMovements[[#This Row],[MovementID]]="","",
   _xlfn.XLOOKUP(SessionMovements[[#This Row],[MovementID]],MovementLibrary[MovementID],MovementLibrary[Name],"")
)</f>
        <v>ATG Split Squat</v>
      </c>
      <c r="D1099" s="5" t="str">
        <f>IF(SessionMovements[[#This Row],[MovementID]]="","",
   _xlfn.XLOOKUP(SessionMovements[[#This Row],[MovementID]], MovementLibrary[MovementID], MovementLibrary[Modality], "")
)</f>
        <v>Bodyweight</v>
      </c>
      <c r="E1099" s="5" t="str">
        <f>IF(SessionMovements[[#This Row],[MovementID]]="","",
   _xlfn.XLOOKUP(SessionMovements[[#This Row],[MovementID]], MovementLibrary[MovementID], MovementLibrary[Unit], "")
)</f>
        <v>kg</v>
      </c>
      <c r="F109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099">
        <v>5</v>
      </c>
      <c r="H1099">
        <v>5</v>
      </c>
      <c r="L1099" s="5" t="str">
        <f>IF(COUNTIF(Sessions[SessionID],SessionMovements[[#This Row],[SessionID]])=0,"❌ Missing","✔ OK")</f>
        <v>✔ OK</v>
      </c>
    </row>
    <row r="1100" spans="1:12" x14ac:dyDescent="0.3">
      <c r="A1100" t="s">
        <v>1535</v>
      </c>
      <c r="B1100" t="s">
        <v>1489</v>
      </c>
      <c r="C1100" t="str">
        <f>IF(SessionMovements[[#This Row],[MovementID]]="","",
   _xlfn.XLOOKUP(SessionMovements[[#This Row],[MovementID]],MovementLibrary[MovementID],MovementLibrary[Name],"")
)</f>
        <v>Sotts Press</v>
      </c>
      <c r="D1100" s="5" t="str">
        <f>IF(SessionMovements[[#This Row],[MovementID]]="","",
   _xlfn.XLOOKUP(SessionMovements[[#This Row],[MovementID]], MovementLibrary[MovementID], MovementLibrary[Modality], "")
)</f>
        <v>Barbell</v>
      </c>
      <c r="E1100" s="5" t="str">
        <f>IF(SessionMovements[[#This Row],[MovementID]]="","",
   _xlfn.XLOOKUP(SessionMovements[[#This Row],[MovementID]], MovementLibrary[MovementID], MovementLibrary[Unit], "")
)</f>
        <v>kg</v>
      </c>
      <c r="F110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0">
        <v>3</v>
      </c>
      <c r="H1100">
        <v>8</v>
      </c>
      <c r="I1100">
        <v>15</v>
      </c>
      <c r="K1100" t="s">
        <v>1548</v>
      </c>
      <c r="L1100" s="5" t="str">
        <f>IF(COUNTIF(Sessions[SessionID],SessionMovements[[#This Row],[SessionID]])=0,"❌ Missing","✔ OK")</f>
        <v>✔ OK</v>
      </c>
    </row>
    <row r="1101" spans="1:12" x14ac:dyDescent="0.3">
      <c r="A1101" t="s">
        <v>1535</v>
      </c>
      <c r="B1101" t="s">
        <v>1497</v>
      </c>
      <c r="C1101" t="str">
        <f>IF(SessionMovements[[#This Row],[MovementID]]="","",
   _xlfn.XLOOKUP(SessionMovements[[#This Row],[MovementID]],MovementLibrary[MovementID],MovementLibrary[Name],"")
)</f>
        <v>BMU Hip-to-Bar Drill</v>
      </c>
      <c r="D1101" s="5" t="str">
        <f>IF(SessionMovements[[#This Row],[MovementID]]="","",
   _xlfn.XLOOKUP(SessionMovements[[#This Row],[MovementID]], MovementLibrary[MovementID], MovementLibrary[Modality], "")
)</f>
        <v>Bodyweight</v>
      </c>
      <c r="E1101" s="5" t="str">
        <f>IF(SessionMovements[[#This Row],[MovementID]]="","",
   _xlfn.XLOOKUP(SessionMovements[[#This Row],[MovementID]], MovementLibrary[MovementID], MovementLibrary[Unit], "")
)</f>
        <v>reps</v>
      </c>
      <c r="F110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1">
        <v>6</v>
      </c>
      <c r="H1101">
        <v>3</v>
      </c>
      <c r="L1101" s="5" t="str">
        <f>IF(COUNTIF(Sessions[SessionID],SessionMovements[[#This Row],[SessionID]])=0,"❌ Missing","✔ OK")</f>
        <v>✔ OK</v>
      </c>
    </row>
    <row r="1102" spans="1:12" x14ac:dyDescent="0.3">
      <c r="A1102" t="s">
        <v>1536</v>
      </c>
      <c r="B1102" t="s">
        <v>1483</v>
      </c>
      <c r="C1102" t="str">
        <f>IF(SessionMovements[[#This Row],[MovementID]]="","",
   _xlfn.XLOOKUP(SessionMovements[[#This Row],[MovementID]],MovementLibrary[MovementID],MovementLibrary[Name],"")
)</f>
        <v>Tibialis Raise</v>
      </c>
      <c r="D1102" s="5" t="str">
        <f>IF(SessionMovements[[#This Row],[MovementID]]="","",
   _xlfn.XLOOKUP(SessionMovements[[#This Row],[MovementID]], MovementLibrary[MovementID], MovementLibrary[Modality], "")
)</f>
        <v>Bodyweight</v>
      </c>
      <c r="E1102" s="5" t="str">
        <f>IF(SessionMovements[[#This Row],[MovementID]]="","",
   _xlfn.XLOOKUP(SessionMovements[[#This Row],[MovementID]], MovementLibrary[MovementID], MovementLibrary[Unit], "")
)</f>
        <v>reps</v>
      </c>
      <c r="F110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2">
        <v>3</v>
      </c>
      <c r="H1102">
        <v>25</v>
      </c>
      <c r="K1102" t="s">
        <v>1547</v>
      </c>
      <c r="L1102" s="5" t="str">
        <f>IF(COUNTIF(Sessions[SessionID],SessionMovements[[#This Row],[SessionID]])=0,"❌ Missing","✔ OK")</f>
        <v>✔ OK</v>
      </c>
    </row>
    <row r="1103" spans="1:12" x14ac:dyDescent="0.3">
      <c r="A1103" t="s">
        <v>1536</v>
      </c>
      <c r="B1103" t="s">
        <v>1485</v>
      </c>
      <c r="C1103" t="str">
        <f>IF(SessionMovements[[#This Row],[MovementID]]="","",
   _xlfn.XLOOKUP(SessionMovements[[#This Row],[MovementID]],MovementLibrary[MovementID],MovementLibrary[Name],"")
)</f>
        <v>ATG Split Squat</v>
      </c>
      <c r="D1103" s="5" t="str">
        <f>IF(SessionMovements[[#This Row],[MovementID]]="","",
   _xlfn.XLOOKUP(SessionMovements[[#This Row],[MovementID]], MovementLibrary[MovementID], MovementLibrary[Modality], "")
)</f>
        <v>Bodyweight</v>
      </c>
      <c r="E1103" s="5" t="str">
        <f>IF(SessionMovements[[#This Row],[MovementID]]="","",
   _xlfn.XLOOKUP(SessionMovements[[#This Row],[MovementID]], MovementLibrary[MovementID], MovementLibrary[Unit], "")
)</f>
        <v>kg</v>
      </c>
      <c r="F110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3">
        <v>5</v>
      </c>
      <c r="H1103">
        <v>5</v>
      </c>
      <c r="L1103" s="5" t="str">
        <f>IF(COUNTIF(Sessions[SessionID],SessionMovements[[#This Row],[SessionID]])=0,"❌ Missing","✔ OK")</f>
        <v>✔ OK</v>
      </c>
    </row>
    <row r="1104" spans="1:12" x14ac:dyDescent="0.3">
      <c r="A1104" t="s">
        <v>1536</v>
      </c>
      <c r="B1104" t="s">
        <v>1489</v>
      </c>
      <c r="C1104" t="str">
        <f>IF(SessionMovements[[#This Row],[MovementID]]="","",
   _xlfn.XLOOKUP(SessionMovements[[#This Row],[MovementID]],MovementLibrary[MovementID],MovementLibrary[Name],"")
)</f>
        <v>Sotts Press</v>
      </c>
      <c r="D1104" s="5" t="str">
        <f>IF(SessionMovements[[#This Row],[MovementID]]="","",
   _xlfn.XLOOKUP(SessionMovements[[#This Row],[MovementID]], MovementLibrary[MovementID], MovementLibrary[Modality], "")
)</f>
        <v>Barbell</v>
      </c>
      <c r="E1104" s="5" t="str">
        <f>IF(SessionMovements[[#This Row],[MovementID]]="","",
   _xlfn.XLOOKUP(SessionMovements[[#This Row],[MovementID]], MovementLibrary[MovementID], MovementLibrary[Unit], "")
)</f>
        <v>kg</v>
      </c>
      <c r="F110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4">
        <v>3</v>
      </c>
      <c r="H1104">
        <v>8</v>
      </c>
      <c r="I1104">
        <v>20</v>
      </c>
      <c r="K1104" t="s">
        <v>1549</v>
      </c>
      <c r="L1104" s="5" t="str">
        <f>IF(COUNTIF(Sessions[SessionID],SessionMovements[[#This Row],[SessionID]])=0,"❌ Missing","✔ OK")</f>
        <v>✔ OK</v>
      </c>
    </row>
    <row r="1105" spans="1:12" x14ac:dyDescent="0.3">
      <c r="A1105" t="s">
        <v>1536</v>
      </c>
      <c r="B1105" t="s">
        <v>1503</v>
      </c>
      <c r="C1105" t="str">
        <f>IF(SessionMovements[[#This Row],[MovementID]]="","",
   _xlfn.XLOOKUP(SessionMovements[[#This Row],[MovementID]],MovementLibrary[MovementID],MovementLibrary[Name],"")
)</f>
        <v>Pistol Squat Neg</v>
      </c>
      <c r="D1105" s="5" t="str">
        <f>IF(SessionMovements[[#This Row],[MovementID]]="","",
   _xlfn.XLOOKUP(SessionMovements[[#This Row],[MovementID]], MovementLibrary[MovementID], MovementLibrary[Modality], "")
)</f>
        <v>Bodyweight</v>
      </c>
      <c r="E1105" s="5" t="str">
        <f>IF(SessionMovements[[#This Row],[MovementID]]="","",
   _xlfn.XLOOKUP(SessionMovements[[#This Row],[MovementID]], MovementLibrary[MovementID], MovementLibrary[Unit], "")
)</f>
        <v>reps</v>
      </c>
      <c r="F110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5">
        <v>3</v>
      </c>
      <c r="H1105">
        <v>5</v>
      </c>
      <c r="K1105" t="s">
        <v>1551</v>
      </c>
      <c r="L1105" s="5" t="str">
        <f>IF(COUNTIF(Sessions[SessionID],SessionMovements[[#This Row],[SessionID]])=0,"❌ Missing","✔ OK")</f>
        <v>✔ OK</v>
      </c>
    </row>
    <row r="1106" spans="1:12" x14ac:dyDescent="0.3">
      <c r="A1106" t="s">
        <v>1537</v>
      </c>
      <c r="B1106" t="s">
        <v>1487</v>
      </c>
      <c r="C1106" t="str">
        <f>IF(SessionMovements[[#This Row],[MovementID]]="","",
   _xlfn.XLOOKUP(SessionMovements[[#This Row],[MovementID]],MovementLibrary[MovementID],MovementLibrary[Name],"")
)</f>
        <v>Patrick Step</v>
      </c>
      <c r="D1106" s="5" t="str">
        <f>IF(SessionMovements[[#This Row],[MovementID]]="","",
   _xlfn.XLOOKUP(SessionMovements[[#This Row],[MovementID]], MovementLibrary[MovementID], MovementLibrary[Modality], "")
)</f>
        <v>Bodyweight</v>
      </c>
      <c r="E1106" s="5" t="str">
        <f>IF(SessionMovements[[#This Row],[MovementID]]="","",
   _xlfn.XLOOKUP(SessionMovements[[#This Row],[MovementID]], MovementLibrary[MovementID], MovementLibrary[Unit], "")
)</f>
        <v>reps</v>
      </c>
      <c r="F110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6">
        <v>3</v>
      </c>
      <c r="H1106">
        <v>25</v>
      </c>
      <c r="L1106" s="5" t="str">
        <f>IF(COUNTIF(Sessions[SessionID],SessionMovements[[#This Row],[SessionID]])=0,"❌ Missing","✔ OK")</f>
        <v>✔ OK</v>
      </c>
    </row>
    <row r="1107" spans="1:12" x14ac:dyDescent="0.3">
      <c r="A1107" t="s">
        <v>1537</v>
      </c>
      <c r="B1107" t="s">
        <v>262</v>
      </c>
      <c r="C1107" t="str">
        <f>IF(SessionMovements[[#This Row],[MovementID]]="","",
   _xlfn.XLOOKUP(SessionMovements[[#This Row],[MovementID]],MovementLibrary[MovementID],MovementLibrary[Name],"")
)</f>
        <v>Strict Press</v>
      </c>
      <c r="D1107" s="5" t="str">
        <f>IF(SessionMovements[[#This Row],[MovementID]]="","",
   _xlfn.XLOOKUP(SessionMovements[[#This Row],[MovementID]], MovementLibrary[MovementID], MovementLibrary[Modality], "")
)</f>
        <v>Barbell</v>
      </c>
      <c r="E1107" s="5" t="str">
        <f>IF(SessionMovements[[#This Row],[MovementID]]="","",
   _xlfn.XLOOKUP(SessionMovements[[#This Row],[MovementID]], MovementLibrary[MovementID], MovementLibrary[Unit], "")
)</f>
        <v>kg</v>
      </c>
      <c r="F110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7">
        <v>4</v>
      </c>
      <c r="H1107">
        <v>6</v>
      </c>
      <c r="I1107">
        <v>55</v>
      </c>
      <c r="L1107" s="5" t="str">
        <f>IF(COUNTIF(Sessions[SessionID],SessionMovements[[#This Row],[SessionID]])=0,"❌ Missing","✔ OK")</f>
        <v>✔ OK</v>
      </c>
    </row>
    <row r="1108" spans="1:12" x14ac:dyDescent="0.3">
      <c r="A1108" t="s">
        <v>1537</v>
      </c>
      <c r="B1108" t="s">
        <v>1507</v>
      </c>
      <c r="C1108" t="str">
        <f>IF(SessionMovements[[#This Row],[MovementID]]="","",
   _xlfn.XLOOKUP(SessionMovements[[#This Row],[MovementID]],MovementLibrary[MovementID],MovementLibrary[Name],"")
)</f>
        <v>Handstand Walk Taps</v>
      </c>
      <c r="D1108" s="5" t="str">
        <f>IF(SessionMovements[[#This Row],[MovementID]]="","",
   _xlfn.XLOOKUP(SessionMovements[[#This Row],[MovementID]], MovementLibrary[MovementID], MovementLibrary[Modality], "")
)</f>
        <v>Bodyweight</v>
      </c>
      <c r="E1108" s="5" t="str">
        <f>IF(SessionMovements[[#This Row],[MovementID]]="","",
   _xlfn.XLOOKUP(SessionMovements[[#This Row],[MovementID]], MovementLibrary[MovementID], MovementLibrary[Unit], "")
)</f>
        <v>reps</v>
      </c>
      <c r="F110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8">
        <v>4</v>
      </c>
      <c r="H1108">
        <v>20</v>
      </c>
      <c r="L1108" s="5" t="str">
        <f>IF(COUNTIF(Sessions[SessionID],SessionMovements[[#This Row],[SessionID]])=0,"❌ Missing","✔ OK")</f>
        <v>✔ OK</v>
      </c>
    </row>
    <row r="1109" spans="1:12" x14ac:dyDescent="0.3">
      <c r="A1109" t="s">
        <v>1537</v>
      </c>
      <c r="B1109" t="s">
        <v>1491</v>
      </c>
      <c r="C1109" t="str">
        <f>IF(SessionMovements[[#This Row],[MovementID]]="","",
   _xlfn.XLOOKUP(SessionMovements[[#This Row],[MovementID]],MovementLibrary[MovementID],MovementLibrary[Name],"")
)</f>
        <v>Jefferson Curl</v>
      </c>
      <c r="D1109" s="5" t="str">
        <f>IF(SessionMovements[[#This Row],[MovementID]]="","",
   _xlfn.XLOOKUP(SessionMovements[[#This Row],[MovementID]], MovementLibrary[MovementID], MovementLibrary[Modality], "")
)</f>
        <v>Barbell</v>
      </c>
      <c r="E1109" s="5" t="str">
        <f>IF(SessionMovements[[#This Row],[MovementID]]="","",
   _xlfn.XLOOKUP(SessionMovements[[#This Row],[MovementID]], MovementLibrary[MovementID], MovementLibrary[Unit], "")
)</f>
        <v>kg</v>
      </c>
      <c r="F110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09">
        <v>3</v>
      </c>
      <c r="H1109">
        <v>8</v>
      </c>
      <c r="I1109">
        <v>20</v>
      </c>
      <c r="K1109" t="s">
        <v>1549</v>
      </c>
      <c r="L1109" s="5" t="str">
        <f>IF(COUNTIF(Sessions[SessionID],SessionMovements[[#This Row],[SessionID]])=0,"❌ Missing","✔ OK")</f>
        <v>✔ OK</v>
      </c>
    </row>
    <row r="1110" spans="1:12" x14ac:dyDescent="0.3">
      <c r="A1110" t="s">
        <v>1538</v>
      </c>
      <c r="B1110" t="s">
        <v>527</v>
      </c>
      <c r="C1110" t="str">
        <f>IF(SessionMovements[[#This Row],[MovementID]]="","",
   _xlfn.XLOOKUP(SessionMovements[[#This Row],[MovementID]],MovementLibrary[MovementID],MovementLibrary[Name],"")
)</f>
        <v>L-Sit Hold</v>
      </c>
      <c r="D1110" s="5" t="str">
        <f>IF(SessionMovements[[#This Row],[MovementID]]="","",
   _xlfn.XLOOKUP(SessionMovements[[#This Row],[MovementID]], MovementLibrary[MovementID], MovementLibrary[Modality], "")
)</f>
        <v>Gymnastics</v>
      </c>
      <c r="E1110" s="5" t="str">
        <f>IF(SessionMovements[[#This Row],[MovementID]]="","",
   _xlfn.XLOOKUP(SessionMovements[[#This Row],[MovementID]], MovementLibrary[MovementID], MovementLibrary[Unit], "")
)</f>
        <v>sec</v>
      </c>
      <c r="F111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0">
        <v>3</v>
      </c>
      <c r="H1110">
        <v>30</v>
      </c>
      <c r="L1110" s="5" t="str">
        <f>IF(COUNTIF(Sessions[SessionID],SessionMovements[[#This Row],[SessionID]])=0,"❌ Missing","✔ OK")</f>
        <v>✔ OK</v>
      </c>
    </row>
    <row r="1111" spans="1:12" x14ac:dyDescent="0.3">
      <c r="A1111" t="s">
        <v>1538</v>
      </c>
      <c r="B1111" t="s">
        <v>1491</v>
      </c>
      <c r="C1111" t="str">
        <f>IF(SessionMovements[[#This Row],[MovementID]]="","",
   _xlfn.XLOOKUP(SessionMovements[[#This Row],[MovementID]],MovementLibrary[MovementID],MovementLibrary[Name],"")
)</f>
        <v>Jefferson Curl</v>
      </c>
      <c r="D1111" s="5" t="str">
        <f>IF(SessionMovements[[#This Row],[MovementID]]="","",
   _xlfn.XLOOKUP(SessionMovements[[#This Row],[MovementID]], MovementLibrary[MovementID], MovementLibrary[Modality], "")
)</f>
        <v>Barbell</v>
      </c>
      <c r="E1111" s="5" t="str">
        <f>IF(SessionMovements[[#This Row],[MovementID]]="","",
   _xlfn.XLOOKUP(SessionMovements[[#This Row],[MovementID]], MovementLibrary[MovementID], MovementLibrary[Unit], "")
)</f>
        <v>kg</v>
      </c>
      <c r="F111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1">
        <v>3</v>
      </c>
      <c r="H1111">
        <v>8</v>
      </c>
      <c r="I1111">
        <v>20</v>
      </c>
      <c r="K1111" t="s">
        <v>1549</v>
      </c>
      <c r="L1111" s="5" t="str">
        <f>IF(COUNTIF(Sessions[SessionID],SessionMovements[[#This Row],[SessionID]])=0,"❌ Missing","✔ OK")</f>
        <v>✔ OK</v>
      </c>
    </row>
    <row r="1112" spans="1:12" x14ac:dyDescent="0.3">
      <c r="A1112" t="s">
        <v>1538</v>
      </c>
      <c r="B1112" t="s">
        <v>1512</v>
      </c>
      <c r="C1112" t="str">
        <f>IF(SessionMovements[[#This Row],[MovementID]]="","",
   _xlfn.XLOOKUP(SessionMovements[[#This Row],[MovementID]],MovementLibrary[MovementID],MovementLibrary[Name],"")
)</f>
        <v>Strict Chest to Bar</v>
      </c>
      <c r="D1112" s="5" t="str">
        <f>IF(SessionMovements[[#This Row],[MovementID]]="","",
   _xlfn.XLOOKUP(SessionMovements[[#This Row],[MovementID]], MovementLibrary[MovementID], MovementLibrary[Modality], "")
)</f>
        <v>Bodyweight</v>
      </c>
      <c r="E1112" s="5" t="str">
        <f>IF(SessionMovements[[#This Row],[MovementID]]="","",
   _xlfn.XLOOKUP(SessionMovements[[#This Row],[MovementID]], MovementLibrary[MovementID], MovementLibrary[Unit], "")
)</f>
        <v>reps</v>
      </c>
      <c r="F111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2">
        <v>5</v>
      </c>
      <c r="H1112">
        <v>4</v>
      </c>
      <c r="L1112" s="5" t="str">
        <f>IF(COUNTIF(Sessions[SessionID],SessionMovements[[#This Row],[SessionID]])=0,"❌ Missing","✔ OK")</f>
        <v>✔ OK</v>
      </c>
    </row>
    <row r="1113" spans="1:12" x14ac:dyDescent="0.3">
      <c r="A1113" t="s">
        <v>1538</v>
      </c>
      <c r="B1113" t="s">
        <v>1555</v>
      </c>
      <c r="C1113" t="str">
        <f>IF(SessionMovements[[#This Row],[MovementID]]="","",
   _xlfn.XLOOKUP(SessionMovements[[#This Row],[MovementID]],MovementLibrary[MovementID],MovementLibrary[Name],"")
)</f>
        <v>Weighted Pec stretch</v>
      </c>
      <c r="D1113" s="5" t="str">
        <f>IF(SessionMovements[[#This Row],[MovementID]]="","",
   _xlfn.XLOOKUP(SessionMovements[[#This Row],[MovementID]], MovementLibrary[MovementID], MovementLibrary[Modality], "")
)</f>
        <v>Bodyweight</v>
      </c>
      <c r="E1113" s="5" t="str">
        <f>IF(SessionMovements[[#This Row],[MovementID]]="","",
   _xlfn.XLOOKUP(SessionMovements[[#This Row],[MovementID]], MovementLibrary[MovementID], MovementLibrary[Unit], "")
)</f>
        <v>kg</v>
      </c>
      <c r="F111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3">
        <v>3</v>
      </c>
      <c r="H1113">
        <v>90</v>
      </c>
      <c r="L1113" s="5" t="str">
        <f>IF(COUNTIF(Sessions[SessionID],SessionMovements[[#This Row],[SessionID]])=0,"❌ Missing","✔ OK")</f>
        <v>✔ OK</v>
      </c>
    </row>
    <row r="1114" spans="1:12" x14ac:dyDescent="0.3">
      <c r="A1114" t="s">
        <v>1539</v>
      </c>
      <c r="B1114" t="s">
        <v>1518</v>
      </c>
      <c r="C1114" t="str">
        <f>IF(SessionMovements[[#This Row],[MovementID]]="","",
   _xlfn.XLOOKUP(SessionMovements[[#This Row],[MovementID]],MovementLibrary[MovementID],MovementLibrary[Name],"")
)</f>
        <v>KOT Calf Rasiers</v>
      </c>
      <c r="D1114" s="5" t="str">
        <f>IF(SessionMovements[[#This Row],[MovementID]]="","",
   _xlfn.XLOOKUP(SessionMovements[[#This Row],[MovementID]], MovementLibrary[MovementID], MovementLibrary[Modality], "")
)</f>
        <v>Bodyweight</v>
      </c>
      <c r="E1114" s="5" t="str">
        <f>IF(SessionMovements[[#This Row],[MovementID]]="","",
   _xlfn.XLOOKUP(SessionMovements[[#This Row],[MovementID]], MovementLibrary[MovementID], MovementLibrary[Unit], "")
)</f>
        <v>kg</v>
      </c>
      <c r="F111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4">
        <v>3</v>
      </c>
      <c r="H1114">
        <v>20</v>
      </c>
      <c r="L1114" s="5" t="str">
        <f>IF(COUNTIF(Sessions[SessionID],SessionMovements[[#This Row],[SessionID]])=0,"❌ Missing","✔ OK")</f>
        <v>✔ OK</v>
      </c>
    </row>
    <row r="1115" spans="1:12" x14ac:dyDescent="0.3">
      <c r="A1115" t="s">
        <v>1539</v>
      </c>
      <c r="B1115" t="s">
        <v>651</v>
      </c>
      <c r="C1115" t="str">
        <f>IF(SessionMovements[[#This Row],[MovementID]]="","",
   _xlfn.XLOOKUP(SessionMovements[[#This Row],[MovementID]],MovementLibrary[MovementID],MovementLibrary[Name],"")
)</f>
        <v>Segmented Snatch Deadlift (1" + knee)</v>
      </c>
      <c r="D1115" s="5" t="str">
        <f>IF(SessionMovements[[#This Row],[MovementID]]="","",
   _xlfn.XLOOKUP(SessionMovements[[#This Row],[MovementID]], MovementLibrary[MovementID], MovementLibrary[Modality], "")
)</f>
        <v>Barbell</v>
      </c>
      <c r="E1115" s="5" t="str">
        <f>IF(SessionMovements[[#This Row],[MovementID]]="","",
   _xlfn.XLOOKUP(SessionMovements[[#This Row],[MovementID]], MovementLibrary[MovementID], MovementLibrary[Unit], "")
)</f>
        <v>kg</v>
      </c>
      <c r="F111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5">
        <v>5</v>
      </c>
      <c r="H1115">
        <v>4</v>
      </c>
      <c r="I1115">
        <v>60</v>
      </c>
      <c r="K1115" t="s">
        <v>1554</v>
      </c>
      <c r="L1115" s="5" t="str">
        <f>IF(COUNTIF(Sessions[SessionID],SessionMovements[[#This Row],[SessionID]])=0,"❌ Missing","✔ OK")</f>
        <v>✔ OK</v>
      </c>
    </row>
    <row r="1116" spans="1:12" x14ac:dyDescent="0.3">
      <c r="A1116" t="s">
        <v>1539</v>
      </c>
      <c r="B1116" t="s">
        <v>1557</v>
      </c>
      <c r="C1116" t="str">
        <f>IF(SessionMovements[[#This Row],[MovementID]]="","",
   _xlfn.XLOOKUP(SessionMovements[[#This Row],[MovementID]],MovementLibrary[MovementID],MovementLibrary[Name],"")
)</f>
        <v>Crow Pose</v>
      </c>
      <c r="D1116" s="5" t="str">
        <f>IF(SessionMovements[[#This Row],[MovementID]]="","",
   _xlfn.XLOOKUP(SessionMovements[[#This Row],[MovementID]], MovementLibrary[MovementID], MovementLibrary[Modality], "")
)</f>
        <v>Gymnastic</v>
      </c>
      <c r="E1116" s="5" t="str">
        <f>IF(SessionMovements[[#This Row],[MovementID]]="","",
   _xlfn.XLOOKUP(SessionMovements[[#This Row],[MovementID]], MovementLibrary[MovementID], MovementLibrary[Unit], "")
)</f>
        <v>sec</v>
      </c>
      <c r="F111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6">
        <v>4</v>
      </c>
      <c r="H1116">
        <v>45</v>
      </c>
      <c r="L1116" s="5" t="str">
        <f>IF(COUNTIF(Sessions[SessionID],SessionMovements[[#This Row],[SessionID]])=0,"❌ Missing","✔ OK")</f>
        <v>✔ OK</v>
      </c>
    </row>
    <row r="1117" spans="1:12" x14ac:dyDescent="0.3">
      <c r="A1117" t="s">
        <v>1539</v>
      </c>
      <c r="B1117" t="s">
        <v>530</v>
      </c>
      <c r="C1117" t="str">
        <f>IF(SessionMovements[[#This Row],[MovementID]]="","",
   _xlfn.XLOOKUP(SessionMovements[[#This Row],[MovementID]],MovementLibrary[MovementID],MovementLibrary[Name],"")
)</f>
        <v>Hollow Hold</v>
      </c>
      <c r="D1117" s="5" t="str">
        <f>IF(SessionMovements[[#This Row],[MovementID]]="","",
   _xlfn.XLOOKUP(SessionMovements[[#This Row],[MovementID]], MovementLibrary[MovementID], MovementLibrary[Modality], "")
)</f>
        <v>Gymnastics</v>
      </c>
      <c r="E1117" s="5" t="str">
        <f>IF(SessionMovements[[#This Row],[MovementID]]="","",
   _xlfn.XLOOKUP(SessionMovements[[#This Row],[MovementID]], MovementLibrary[MovementID], MovementLibrary[Unit], "")
)</f>
        <v>sec</v>
      </c>
      <c r="F111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7">
        <v>3</v>
      </c>
      <c r="H1117">
        <v>45</v>
      </c>
      <c r="L1117" s="5" t="str">
        <f>IF(COUNTIF(Sessions[SessionID],SessionMovements[[#This Row],[SessionID]])=0,"❌ Missing","✔ OK")</f>
        <v>✔ OK</v>
      </c>
    </row>
    <row r="1118" spans="1:12" x14ac:dyDescent="0.3">
      <c r="A1118" t="s">
        <v>1540</v>
      </c>
      <c r="B1118" t="s">
        <v>1483</v>
      </c>
      <c r="C1118" t="str">
        <f>IF(SessionMovements[[#This Row],[MovementID]]="","",
   _xlfn.XLOOKUP(SessionMovements[[#This Row],[MovementID]],MovementLibrary[MovementID],MovementLibrary[Name],"")
)</f>
        <v>Tibialis Raise</v>
      </c>
      <c r="D1118" s="5" t="str">
        <f>IF(SessionMovements[[#This Row],[MovementID]]="","",
   _xlfn.XLOOKUP(SessionMovements[[#This Row],[MovementID]], MovementLibrary[MovementID], MovementLibrary[Modality], "")
)</f>
        <v>Bodyweight</v>
      </c>
      <c r="E1118" s="5" t="str">
        <f>IF(SessionMovements[[#This Row],[MovementID]]="","",
   _xlfn.XLOOKUP(SessionMovements[[#This Row],[MovementID]], MovementLibrary[MovementID], MovementLibrary[Unit], "")
)</f>
        <v>reps</v>
      </c>
      <c r="F111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8">
        <v>3</v>
      </c>
      <c r="H1118">
        <v>25</v>
      </c>
      <c r="K1118" t="s">
        <v>1547</v>
      </c>
      <c r="L1118" s="5" t="str">
        <f>IF(COUNTIF(Sessions[SessionID],SessionMovements[[#This Row],[SessionID]])=0,"❌ Missing","✔ OK")</f>
        <v>✔ OK</v>
      </c>
    </row>
    <row r="1119" spans="1:12" x14ac:dyDescent="0.3">
      <c r="A1119" t="s">
        <v>1540</v>
      </c>
      <c r="B1119" t="s">
        <v>1485</v>
      </c>
      <c r="C1119" t="str">
        <f>IF(SessionMovements[[#This Row],[MovementID]]="","",
   _xlfn.XLOOKUP(SessionMovements[[#This Row],[MovementID]],MovementLibrary[MovementID],MovementLibrary[Name],"")
)</f>
        <v>ATG Split Squat</v>
      </c>
      <c r="D1119" s="5" t="str">
        <f>IF(SessionMovements[[#This Row],[MovementID]]="","",
   _xlfn.XLOOKUP(SessionMovements[[#This Row],[MovementID]], MovementLibrary[MovementID], MovementLibrary[Modality], "")
)</f>
        <v>Bodyweight</v>
      </c>
      <c r="E1119" s="5" t="str">
        <f>IF(SessionMovements[[#This Row],[MovementID]]="","",
   _xlfn.XLOOKUP(SessionMovements[[#This Row],[MovementID]], MovementLibrary[MovementID], MovementLibrary[Unit], "")
)</f>
        <v>kg</v>
      </c>
      <c r="F111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19">
        <v>5</v>
      </c>
      <c r="H1119">
        <v>5</v>
      </c>
      <c r="L1119" s="5" t="str">
        <f>IF(COUNTIF(Sessions[SessionID],SessionMovements[[#This Row],[SessionID]])=0,"❌ Missing","✔ OK")</f>
        <v>✔ OK</v>
      </c>
    </row>
    <row r="1120" spans="1:12" x14ac:dyDescent="0.3">
      <c r="A1120" t="s">
        <v>1540</v>
      </c>
      <c r="B1120" t="s">
        <v>1489</v>
      </c>
      <c r="C1120" t="str">
        <f>IF(SessionMovements[[#This Row],[MovementID]]="","",
   _xlfn.XLOOKUP(SessionMovements[[#This Row],[MovementID]],MovementLibrary[MovementID],MovementLibrary[Name],"")
)</f>
        <v>Sotts Press</v>
      </c>
      <c r="D1120" s="5" t="str">
        <f>IF(SessionMovements[[#This Row],[MovementID]]="","",
   _xlfn.XLOOKUP(SessionMovements[[#This Row],[MovementID]], MovementLibrary[MovementID], MovementLibrary[Modality], "")
)</f>
        <v>Barbell</v>
      </c>
      <c r="E1120" s="5" t="str">
        <f>IF(SessionMovements[[#This Row],[MovementID]]="","",
   _xlfn.XLOOKUP(SessionMovements[[#This Row],[MovementID]], MovementLibrary[MovementID], MovementLibrary[Unit], "")
)</f>
        <v>kg</v>
      </c>
      <c r="F112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0">
        <v>3</v>
      </c>
      <c r="H1120">
        <v>8</v>
      </c>
      <c r="I1120">
        <v>20</v>
      </c>
      <c r="K1120" t="s">
        <v>1549</v>
      </c>
      <c r="L1120" s="5" t="str">
        <f>IF(COUNTIF(Sessions[SessionID],SessionMovements[[#This Row],[SessionID]])=0,"❌ Missing","✔ OK")</f>
        <v>✔ OK</v>
      </c>
    </row>
    <row r="1121" spans="1:12" x14ac:dyDescent="0.3">
      <c r="A1121" t="s">
        <v>1540</v>
      </c>
      <c r="B1121" t="s">
        <v>1497</v>
      </c>
      <c r="C1121" t="str">
        <f>IF(SessionMovements[[#This Row],[MovementID]]="","",
   _xlfn.XLOOKUP(SessionMovements[[#This Row],[MovementID]],MovementLibrary[MovementID],MovementLibrary[Name],"")
)</f>
        <v>BMU Hip-to-Bar Drill</v>
      </c>
      <c r="D1121" s="5" t="str">
        <f>IF(SessionMovements[[#This Row],[MovementID]]="","",
   _xlfn.XLOOKUP(SessionMovements[[#This Row],[MovementID]], MovementLibrary[MovementID], MovementLibrary[Modality], "")
)</f>
        <v>Bodyweight</v>
      </c>
      <c r="E1121" s="5" t="str">
        <f>IF(SessionMovements[[#This Row],[MovementID]]="","",
   _xlfn.XLOOKUP(SessionMovements[[#This Row],[MovementID]], MovementLibrary[MovementID], MovementLibrary[Unit], "")
)</f>
        <v>reps</v>
      </c>
      <c r="F112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1">
        <v>5</v>
      </c>
      <c r="H1121">
        <v>4</v>
      </c>
      <c r="L1121" s="5" t="str">
        <f>IF(COUNTIF(Sessions[SessionID],SessionMovements[[#This Row],[SessionID]])=0,"❌ Missing","✔ OK")</f>
        <v>✔ OK</v>
      </c>
    </row>
    <row r="1122" spans="1:12" x14ac:dyDescent="0.3">
      <c r="A1122" t="s">
        <v>1541</v>
      </c>
      <c r="B1122" t="s">
        <v>1483</v>
      </c>
      <c r="C1122" t="str">
        <f>IF(SessionMovements[[#This Row],[MovementID]]="","",
   _xlfn.XLOOKUP(SessionMovements[[#This Row],[MovementID]],MovementLibrary[MovementID],MovementLibrary[Name],"")
)</f>
        <v>Tibialis Raise</v>
      </c>
      <c r="D1122" s="5" t="str">
        <f>IF(SessionMovements[[#This Row],[MovementID]]="","",
   _xlfn.XLOOKUP(SessionMovements[[#This Row],[MovementID]], MovementLibrary[MovementID], MovementLibrary[Modality], "")
)</f>
        <v>Bodyweight</v>
      </c>
      <c r="E1122" s="5" t="str">
        <f>IF(SessionMovements[[#This Row],[MovementID]]="","",
   _xlfn.XLOOKUP(SessionMovements[[#This Row],[MovementID]], MovementLibrary[MovementID], MovementLibrary[Unit], "")
)</f>
        <v>reps</v>
      </c>
      <c r="F112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2">
        <v>3</v>
      </c>
      <c r="H1122">
        <v>25</v>
      </c>
      <c r="K1122" t="s">
        <v>1547</v>
      </c>
      <c r="L1122" s="5" t="str">
        <f>IF(COUNTIF(Sessions[SessionID],SessionMovements[[#This Row],[SessionID]])=0,"❌ Missing","✔ OK")</f>
        <v>✔ OK</v>
      </c>
    </row>
    <row r="1123" spans="1:12" x14ac:dyDescent="0.3">
      <c r="A1123" t="s">
        <v>1541</v>
      </c>
      <c r="B1123" t="s">
        <v>1485</v>
      </c>
      <c r="C1123" t="str">
        <f>IF(SessionMovements[[#This Row],[MovementID]]="","",
   _xlfn.XLOOKUP(SessionMovements[[#This Row],[MovementID]],MovementLibrary[MovementID],MovementLibrary[Name],"")
)</f>
        <v>ATG Split Squat</v>
      </c>
      <c r="D1123" s="5" t="str">
        <f>IF(SessionMovements[[#This Row],[MovementID]]="","",
   _xlfn.XLOOKUP(SessionMovements[[#This Row],[MovementID]], MovementLibrary[MovementID], MovementLibrary[Modality], "")
)</f>
        <v>Bodyweight</v>
      </c>
      <c r="E1123" s="5" t="str">
        <f>IF(SessionMovements[[#This Row],[MovementID]]="","",
   _xlfn.XLOOKUP(SessionMovements[[#This Row],[MovementID]], MovementLibrary[MovementID], MovementLibrary[Unit], "")
)</f>
        <v>kg</v>
      </c>
      <c r="F112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3">
        <v>5</v>
      </c>
      <c r="H1123">
        <v>5</v>
      </c>
      <c r="L1123" s="5" t="str">
        <f>IF(COUNTIF(Sessions[SessionID],SessionMovements[[#This Row],[SessionID]])=0,"❌ Missing","✔ OK")</f>
        <v>✔ OK</v>
      </c>
    </row>
    <row r="1124" spans="1:12" x14ac:dyDescent="0.3">
      <c r="A1124" t="s">
        <v>1541</v>
      </c>
      <c r="B1124" t="s">
        <v>1489</v>
      </c>
      <c r="C1124" t="str">
        <f>IF(SessionMovements[[#This Row],[MovementID]]="","",
   _xlfn.XLOOKUP(SessionMovements[[#This Row],[MovementID]],MovementLibrary[MovementID],MovementLibrary[Name],"")
)</f>
        <v>Sotts Press</v>
      </c>
      <c r="D1124" s="5" t="str">
        <f>IF(SessionMovements[[#This Row],[MovementID]]="","",
   _xlfn.XLOOKUP(SessionMovements[[#This Row],[MovementID]], MovementLibrary[MovementID], MovementLibrary[Modality], "")
)</f>
        <v>Barbell</v>
      </c>
      <c r="E1124" s="5" t="str">
        <f>IF(SessionMovements[[#This Row],[MovementID]]="","",
   _xlfn.XLOOKUP(SessionMovements[[#This Row],[MovementID]], MovementLibrary[MovementID], MovementLibrary[Unit], "")
)</f>
        <v>kg</v>
      </c>
      <c r="F112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4">
        <v>3</v>
      </c>
      <c r="H1124">
        <v>8</v>
      </c>
      <c r="K1124" t="s">
        <v>1549</v>
      </c>
      <c r="L1124" s="5" t="str">
        <f>IF(COUNTIF(Sessions[SessionID],SessionMovements[[#This Row],[SessionID]])=0,"❌ Missing","✔ OK")</f>
        <v>✔ OK</v>
      </c>
    </row>
    <row r="1125" spans="1:12" x14ac:dyDescent="0.3">
      <c r="A1125" t="s">
        <v>1541</v>
      </c>
      <c r="B1125" t="s">
        <v>1503</v>
      </c>
      <c r="C1125" t="str">
        <f>IF(SessionMovements[[#This Row],[MovementID]]="","",
   _xlfn.XLOOKUP(SessionMovements[[#This Row],[MovementID]],MovementLibrary[MovementID],MovementLibrary[Name],"")
)</f>
        <v>Pistol Squat Neg</v>
      </c>
      <c r="D1125" s="5" t="str">
        <f>IF(SessionMovements[[#This Row],[MovementID]]="","",
   _xlfn.XLOOKUP(SessionMovements[[#This Row],[MovementID]], MovementLibrary[MovementID], MovementLibrary[Modality], "")
)</f>
        <v>Bodyweight</v>
      </c>
      <c r="E1125" s="5" t="str">
        <f>IF(SessionMovements[[#This Row],[MovementID]]="","",
   _xlfn.XLOOKUP(SessionMovements[[#This Row],[MovementID]], MovementLibrary[MovementID], MovementLibrary[Unit], "")
)</f>
        <v>reps</v>
      </c>
      <c r="F112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5">
        <v>3</v>
      </c>
      <c r="H1125">
        <v>5</v>
      </c>
      <c r="K1125" t="s">
        <v>1551</v>
      </c>
      <c r="L1125" s="5" t="str">
        <f>IF(COUNTIF(Sessions[SessionID],SessionMovements[[#This Row],[SessionID]])=0,"❌ Missing","✔ OK")</f>
        <v>✔ OK</v>
      </c>
    </row>
    <row r="1126" spans="1:12" x14ac:dyDescent="0.3">
      <c r="A1126" t="s">
        <v>1542</v>
      </c>
      <c r="B1126" t="s">
        <v>1487</v>
      </c>
      <c r="C1126" t="str">
        <f>IF(SessionMovements[[#This Row],[MovementID]]="","",
   _xlfn.XLOOKUP(SessionMovements[[#This Row],[MovementID]],MovementLibrary[MovementID],MovementLibrary[Name],"")
)</f>
        <v>Patrick Step</v>
      </c>
      <c r="D1126" s="5" t="str">
        <f>IF(SessionMovements[[#This Row],[MovementID]]="","",
   _xlfn.XLOOKUP(SessionMovements[[#This Row],[MovementID]], MovementLibrary[MovementID], MovementLibrary[Modality], "")
)</f>
        <v>Bodyweight</v>
      </c>
      <c r="E1126" s="5" t="str">
        <f>IF(SessionMovements[[#This Row],[MovementID]]="","",
   _xlfn.XLOOKUP(SessionMovements[[#This Row],[MovementID]], MovementLibrary[MovementID], MovementLibrary[Unit], "")
)</f>
        <v>reps</v>
      </c>
      <c r="F112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6">
        <v>3</v>
      </c>
      <c r="H1126">
        <v>25</v>
      </c>
      <c r="L1126" s="5" t="str">
        <f>IF(COUNTIF(Sessions[SessionID],SessionMovements[[#This Row],[SessionID]])=0,"❌ Missing","✔ OK")</f>
        <v>✔ OK</v>
      </c>
    </row>
    <row r="1127" spans="1:12" x14ac:dyDescent="0.3">
      <c r="A1127" t="s">
        <v>1542</v>
      </c>
      <c r="B1127" t="s">
        <v>262</v>
      </c>
      <c r="C1127" t="str">
        <f>IF(SessionMovements[[#This Row],[MovementID]]="","",
   _xlfn.XLOOKUP(SessionMovements[[#This Row],[MovementID]],MovementLibrary[MovementID],MovementLibrary[Name],"")
)</f>
        <v>Strict Press</v>
      </c>
      <c r="D1127" s="5" t="str">
        <f>IF(SessionMovements[[#This Row],[MovementID]]="","",
   _xlfn.XLOOKUP(SessionMovements[[#This Row],[MovementID]], MovementLibrary[MovementID], MovementLibrary[Modality], "")
)</f>
        <v>Barbell</v>
      </c>
      <c r="E1127" s="5" t="str">
        <f>IF(SessionMovements[[#This Row],[MovementID]]="","",
   _xlfn.XLOOKUP(SessionMovements[[#This Row],[MovementID]], MovementLibrary[MovementID], MovementLibrary[Unit], "")
)</f>
        <v>kg</v>
      </c>
      <c r="F112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7">
        <v>4</v>
      </c>
      <c r="H1127">
        <v>6</v>
      </c>
      <c r="I1127">
        <v>57.5</v>
      </c>
      <c r="L1127" s="5" t="str">
        <f>IF(COUNTIF(Sessions[SessionID],SessionMovements[[#This Row],[SessionID]])=0,"❌ Missing","✔ OK")</f>
        <v>✔ OK</v>
      </c>
    </row>
    <row r="1128" spans="1:12" x14ac:dyDescent="0.3">
      <c r="A1128" t="s">
        <v>1542</v>
      </c>
      <c r="B1128" t="s">
        <v>1507</v>
      </c>
      <c r="C1128" t="str">
        <f>IF(SessionMovements[[#This Row],[MovementID]]="","",
   _xlfn.XLOOKUP(SessionMovements[[#This Row],[MovementID]],MovementLibrary[MovementID],MovementLibrary[Name],"")
)</f>
        <v>Handstand Walk Taps</v>
      </c>
      <c r="D1128" s="5" t="str">
        <f>IF(SessionMovements[[#This Row],[MovementID]]="","",
   _xlfn.XLOOKUP(SessionMovements[[#This Row],[MovementID]], MovementLibrary[MovementID], MovementLibrary[Modality], "")
)</f>
        <v>Bodyweight</v>
      </c>
      <c r="E1128" s="5" t="str">
        <f>IF(SessionMovements[[#This Row],[MovementID]]="","",
   _xlfn.XLOOKUP(SessionMovements[[#This Row],[MovementID]], MovementLibrary[MovementID], MovementLibrary[Unit], "")
)</f>
        <v>reps</v>
      </c>
      <c r="F112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8">
        <v>4</v>
      </c>
      <c r="H1128">
        <v>20</v>
      </c>
      <c r="L1128" s="5" t="str">
        <f>IF(COUNTIF(Sessions[SessionID],SessionMovements[[#This Row],[SessionID]])=0,"❌ Missing","✔ OK")</f>
        <v>✔ OK</v>
      </c>
    </row>
    <row r="1129" spans="1:12" x14ac:dyDescent="0.3">
      <c r="A1129" t="s">
        <v>1542</v>
      </c>
      <c r="B1129" t="s">
        <v>1491</v>
      </c>
      <c r="C1129" t="str">
        <f>IF(SessionMovements[[#This Row],[MovementID]]="","",
   _xlfn.XLOOKUP(SessionMovements[[#This Row],[MovementID]],MovementLibrary[MovementID],MovementLibrary[Name],"")
)</f>
        <v>Jefferson Curl</v>
      </c>
      <c r="D1129" s="5" t="str">
        <f>IF(SessionMovements[[#This Row],[MovementID]]="","",
   _xlfn.XLOOKUP(SessionMovements[[#This Row],[MovementID]], MovementLibrary[MovementID], MovementLibrary[Modality], "")
)</f>
        <v>Barbell</v>
      </c>
      <c r="E1129" s="5" t="str">
        <f>IF(SessionMovements[[#This Row],[MovementID]]="","",
   _xlfn.XLOOKUP(SessionMovements[[#This Row],[MovementID]], MovementLibrary[MovementID], MovementLibrary[Unit], "")
)</f>
        <v>kg</v>
      </c>
      <c r="F112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29">
        <v>3</v>
      </c>
      <c r="H1129">
        <v>8</v>
      </c>
      <c r="I1129">
        <v>20</v>
      </c>
      <c r="K1129" t="s">
        <v>1549</v>
      </c>
      <c r="L1129" s="5" t="str">
        <f>IF(COUNTIF(Sessions[SessionID],SessionMovements[[#This Row],[SessionID]])=0,"❌ Missing","✔ OK")</f>
        <v>✔ OK</v>
      </c>
    </row>
    <row r="1130" spans="1:12" x14ac:dyDescent="0.3">
      <c r="A1130" t="s">
        <v>1543</v>
      </c>
      <c r="B1130" t="s">
        <v>527</v>
      </c>
      <c r="C1130" t="str">
        <f>IF(SessionMovements[[#This Row],[MovementID]]="","",
   _xlfn.XLOOKUP(SessionMovements[[#This Row],[MovementID]],MovementLibrary[MovementID],MovementLibrary[Name],"")
)</f>
        <v>L-Sit Hold</v>
      </c>
      <c r="D1130" s="5" t="str">
        <f>IF(SessionMovements[[#This Row],[MovementID]]="","",
   _xlfn.XLOOKUP(SessionMovements[[#This Row],[MovementID]], MovementLibrary[MovementID], MovementLibrary[Modality], "")
)</f>
        <v>Gymnastics</v>
      </c>
      <c r="E1130" s="5" t="str">
        <f>IF(SessionMovements[[#This Row],[MovementID]]="","",
   _xlfn.XLOOKUP(SessionMovements[[#This Row],[MovementID]], MovementLibrary[MovementID], MovementLibrary[Unit], "")
)</f>
        <v>sec</v>
      </c>
      <c r="F113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0">
        <v>3</v>
      </c>
      <c r="H1130">
        <v>45</v>
      </c>
      <c r="L1130" s="5" t="str">
        <f>IF(COUNTIF(Sessions[SessionID],SessionMovements[[#This Row],[SessionID]])=0,"❌ Missing","✔ OK")</f>
        <v>✔ OK</v>
      </c>
    </row>
    <row r="1131" spans="1:12" x14ac:dyDescent="0.3">
      <c r="A1131" t="s">
        <v>1543</v>
      </c>
      <c r="B1131" t="s">
        <v>1491</v>
      </c>
      <c r="C1131" t="str">
        <f>IF(SessionMovements[[#This Row],[MovementID]]="","",
   _xlfn.XLOOKUP(SessionMovements[[#This Row],[MovementID]],MovementLibrary[MovementID],MovementLibrary[Name],"")
)</f>
        <v>Jefferson Curl</v>
      </c>
      <c r="D1131" s="5" t="str">
        <f>IF(SessionMovements[[#This Row],[MovementID]]="","",
   _xlfn.XLOOKUP(SessionMovements[[#This Row],[MovementID]], MovementLibrary[MovementID], MovementLibrary[Modality], "")
)</f>
        <v>Barbell</v>
      </c>
      <c r="E1131" s="5" t="str">
        <f>IF(SessionMovements[[#This Row],[MovementID]]="","",
   _xlfn.XLOOKUP(SessionMovements[[#This Row],[MovementID]], MovementLibrary[MovementID], MovementLibrary[Unit], "")
)</f>
        <v>kg</v>
      </c>
      <c r="F113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1">
        <v>3</v>
      </c>
      <c r="H1131">
        <v>8</v>
      </c>
      <c r="I1131">
        <v>20</v>
      </c>
      <c r="K1131" t="s">
        <v>1549</v>
      </c>
      <c r="L1131" s="5" t="str">
        <f>IF(COUNTIF(Sessions[SessionID],SessionMovements[[#This Row],[SessionID]])=0,"❌ Missing","✔ OK")</f>
        <v>✔ OK</v>
      </c>
    </row>
    <row r="1132" spans="1:12" x14ac:dyDescent="0.3">
      <c r="A1132" t="s">
        <v>1543</v>
      </c>
      <c r="B1132" t="s">
        <v>1512</v>
      </c>
      <c r="C1132" t="str">
        <f>IF(SessionMovements[[#This Row],[MovementID]]="","",
   _xlfn.XLOOKUP(SessionMovements[[#This Row],[MovementID]],MovementLibrary[MovementID],MovementLibrary[Name],"")
)</f>
        <v>Strict Chest to Bar</v>
      </c>
      <c r="D1132" s="5" t="str">
        <f>IF(SessionMovements[[#This Row],[MovementID]]="","",
   _xlfn.XLOOKUP(SessionMovements[[#This Row],[MovementID]], MovementLibrary[MovementID], MovementLibrary[Modality], "")
)</f>
        <v>Bodyweight</v>
      </c>
      <c r="E1132" s="5" t="str">
        <f>IF(SessionMovements[[#This Row],[MovementID]]="","",
   _xlfn.XLOOKUP(SessionMovements[[#This Row],[MovementID]], MovementLibrary[MovementID], MovementLibrary[Unit], "")
)</f>
        <v>reps</v>
      </c>
      <c r="F1132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2">
        <v>5</v>
      </c>
      <c r="H1132">
        <v>4</v>
      </c>
      <c r="L1132" s="5" t="str">
        <f>IF(COUNTIF(Sessions[SessionID],SessionMovements[[#This Row],[SessionID]])=0,"❌ Missing","✔ OK")</f>
        <v>✔ OK</v>
      </c>
    </row>
    <row r="1133" spans="1:12" x14ac:dyDescent="0.3">
      <c r="A1133" t="s">
        <v>1543</v>
      </c>
      <c r="B1133" t="s">
        <v>1555</v>
      </c>
      <c r="C1133" t="str">
        <f>IF(SessionMovements[[#This Row],[MovementID]]="","",
   _xlfn.XLOOKUP(SessionMovements[[#This Row],[MovementID]],MovementLibrary[MovementID],MovementLibrary[Name],"")
)</f>
        <v>Weighted Pec stretch</v>
      </c>
      <c r="D1133" s="5" t="str">
        <f>IF(SessionMovements[[#This Row],[MovementID]]="","",
   _xlfn.XLOOKUP(SessionMovements[[#This Row],[MovementID]], MovementLibrary[MovementID], MovementLibrary[Modality], "")
)</f>
        <v>Bodyweight</v>
      </c>
      <c r="E1133" s="5" t="str">
        <f>IF(SessionMovements[[#This Row],[MovementID]]="","",
   _xlfn.XLOOKUP(SessionMovements[[#This Row],[MovementID]], MovementLibrary[MovementID], MovementLibrary[Unit], "")
)</f>
        <v>kg</v>
      </c>
      <c r="F1133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3">
        <v>3</v>
      </c>
      <c r="H1133">
        <v>90</v>
      </c>
      <c r="L1133" s="5" t="str">
        <f>IF(COUNTIF(Sessions[SessionID],SessionMovements[[#This Row],[SessionID]])=0,"❌ Missing","✔ OK")</f>
        <v>✔ OK</v>
      </c>
    </row>
    <row r="1134" spans="1:12" x14ac:dyDescent="0.3">
      <c r="A1134" t="s">
        <v>1544</v>
      </c>
      <c r="B1134" t="s">
        <v>1518</v>
      </c>
      <c r="C1134" t="str">
        <f>IF(SessionMovements[[#This Row],[MovementID]]="","",
   _xlfn.XLOOKUP(SessionMovements[[#This Row],[MovementID]],MovementLibrary[MovementID],MovementLibrary[Name],"")
)</f>
        <v>KOT Calf Rasiers</v>
      </c>
      <c r="D1134" s="5" t="str">
        <f>IF(SessionMovements[[#This Row],[MovementID]]="","",
   _xlfn.XLOOKUP(SessionMovements[[#This Row],[MovementID]], MovementLibrary[MovementID], MovementLibrary[Modality], "")
)</f>
        <v>Bodyweight</v>
      </c>
      <c r="E1134" s="5" t="str">
        <f>IF(SessionMovements[[#This Row],[MovementID]]="","",
   _xlfn.XLOOKUP(SessionMovements[[#This Row],[MovementID]], MovementLibrary[MovementID], MovementLibrary[Unit], "")
)</f>
        <v>kg</v>
      </c>
      <c r="F1134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4">
        <v>3</v>
      </c>
      <c r="H1134">
        <v>20</v>
      </c>
      <c r="L1134" s="5" t="str">
        <f>IF(COUNTIF(Sessions[SessionID],SessionMovements[[#This Row],[SessionID]])=0,"❌ Missing","✔ OK")</f>
        <v>✔ OK</v>
      </c>
    </row>
    <row r="1135" spans="1:12" x14ac:dyDescent="0.3">
      <c r="A1135" t="s">
        <v>1544</v>
      </c>
      <c r="B1135" t="s">
        <v>651</v>
      </c>
      <c r="C1135" t="str">
        <f>IF(SessionMovements[[#This Row],[MovementID]]="","",
   _xlfn.XLOOKUP(SessionMovements[[#This Row],[MovementID]],MovementLibrary[MovementID],MovementLibrary[Name],"")
)</f>
        <v>Segmented Snatch Deadlift (1" + knee)</v>
      </c>
      <c r="D1135" s="5" t="str">
        <f>IF(SessionMovements[[#This Row],[MovementID]]="","",
   _xlfn.XLOOKUP(SessionMovements[[#This Row],[MovementID]], MovementLibrary[MovementID], MovementLibrary[Modality], "")
)</f>
        <v>Barbell</v>
      </c>
      <c r="E1135" s="5" t="str">
        <f>IF(SessionMovements[[#This Row],[MovementID]]="","",
   _xlfn.XLOOKUP(SessionMovements[[#This Row],[MovementID]], MovementLibrary[MovementID], MovementLibrary[Unit], "")
)</f>
        <v>kg</v>
      </c>
      <c r="F1135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5">
        <v>5</v>
      </c>
      <c r="H1135">
        <v>4</v>
      </c>
      <c r="I1135">
        <v>60</v>
      </c>
      <c r="K1135" t="s">
        <v>1554</v>
      </c>
      <c r="L1135" s="5" t="str">
        <f>IF(COUNTIF(Sessions[SessionID],SessionMovements[[#This Row],[SessionID]])=0,"❌ Missing","✔ OK")</f>
        <v>✔ OK</v>
      </c>
    </row>
    <row r="1136" spans="1:12" x14ac:dyDescent="0.3">
      <c r="A1136" t="s">
        <v>1544</v>
      </c>
      <c r="B1136" t="s">
        <v>1557</v>
      </c>
      <c r="C1136" t="str">
        <f>IF(SessionMovements[[#This Row],[MovementID]]="","",
   _xlfn.XLOOKUP(SessionMovements[[#This Row],[MovementID]],MovementLibrary[MovementID],MovementLibrary[Name],"")
)</f>
        <v>Crow Pose</v>
      </c>
      <c r="D1136" s="5" t="str">
        <f>IF(SessionMovements[[#This Row],[MovementID]]="","",
   _xlfn.XLOOKUP(SessionMovements[[#This Row],[MovementID]], MovementLibrary[MovementID], MovementLibrary[Modality], "")
)</f>
        <v>Gymnastic</v>
      </c>
      <c r="E1136" s="5" t="str">
        <f>IF(SessionMovements[[#This Row],[MovementID]]="","",
   _xlfn.XLOOKUP(SessionMovements[[#This Row],[MovementID]], MovementLibrary[MovementID], MovementLibrary[Unit], "")
)</f>
        <v>sec</v>
      </c>
      <c r="F1136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6">
        <v>4</v>
      </c>
      <c r="H1136">
        <v>45</v>
      </c>
      <c r="L1136" s="5" t="str">
        <f>IF(COUNTIF(Sessions[SessionID],SessionMovements[[#This Row],[SessionID]])=0,"❌ Missing","✔ OK")</f>
        <v>✔ OK</v>
      </c>
    </row>
    <row r="1137" spans="1:12" x14ac:dyDescent="0.3">
      <c r="A1137" t="s">
        <v>1544</v>
      </c>
      <c r="B1137" t="s">
        <v>530</v>
      </c>
      <c r="C1137" t="str">
        <f>IF(SessionMovements[[#This Row],[MovementID]]="","",
   _xlfn.XLOOKUP(SessionMovements[[#This Row],[MovementID]],MovementLibrary[MovementID],MovementLibrary[Name],"")
)</f>
        <v>Hollow Hold</v>
      </c>
      <c r="D1137" s="5" t="str">
        <f>IF(SessionMovements[[#This Row],[MovementID]]="","",
   _xlfn.XLOOKUP(SessionMovements[[#This Row],[MovementID]], MovementLibrary[MovementID], MovementLibrary[Modality], "")
)</f>
        <v>Gymnastics</v>
      </c>
      <c r="E1137" s="5" t="str">
        <f>IF(SessionMovements[[#This Row],[MovementID]]="","",
   _xlfn.XLOOKUP(SessionMovements[[#This Row],[MovementID]], MovementLibrary[MovementID], MovementLibrary[Unit], "")
)</f>
        <v>sec</v>
      </c>
      <c r="F1137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7">
        <v>3</v>
      </c>
      <c r="H1137">
        <v>45</v>
      </c>
      <c r="L1137" s="5" t="str">
        <f>IF(COUNTIF(Sessions[SessionID],SessionMovements[[#This Row],[SessionID]])=0,"❌ Missing","✔ OK")</f>
        <v>✔ OK</v>
      </c>
    </row>
    <row r="1138" spans="1:12" x14ac:dyDescent="0.3">
      <c r="A1138" t="s">
        <v>1545</v>
      </c>
      <c r="B1138" t="s">
        <v>1483</v>
      </c>
      <c r="C1138" t="str">
        <f>IF(SessionMovements[[#This Row],[MovementID]]="","",
   _xlfn.XLOOKUP(SessionMovements[[#This Row],[MovementID]],MovementLibrary[MovementID],MovementLibrary[Name],"")
)</f>
        <v>Tibialis Raise</v>
      </c>
      <c r="D1138" s="5" t="str">
        <f>IF(SessionMovements[[#This Row],[MovementID]]="","",
   _xlfn.XLOOKUP(SessionMovements[[#This Row],[MovementID]], MovementLibrary[MovementID], MovementLibrary[Modality], "")
)</f>
        <v>Bodyweight</v>
      </c>
      <c r="E1138" s="5" t="str">
        <f>IF(SessionMovements[[#This Row],[MovementID]]="","",
   _xlfn.XLOOKUP(SessionMovements[[#This Row],[MovementID]], MovementLibrary[MovementID], MovementLibrary[Unit], "")
)</f>
        <v>reps</v>
      </c>
      <c r="F1138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8">
        <v>3</v>
      </c>
      <c r="H1138">
        <v>25</v>
      </c>
      <c r="K1138" t="s">
        <v>1547</v>
      </c>
      <c r="L1138" s="5" t="str">
        <f>IF(COUNTIF(Sessions[SessionID],SessionMovements[[#This Row],[SessionID]])=0,"❌ Missing","✔ OK")</f>
        <v>✔ OK</v>
      </c>
    </row>
    <row r="1139" spans="1:12" x14ac:dyDescent="0.3">
      <c r="A1139" t="s">
        <v>1545</v>
      </c>
      <c r="B1139" t="s">
        <v>1485</v>
      </c>
      <c r="C1139" t="str">
        <f>IF(SessionMovements[[#This Row],[MovementID]]="","",
   _xlfn.XLOOKUP(SessionMovements[[#This Row],[MovementID]],MovementLibrary[MovementID],MovementLibrary[Name],"")
)</f>
        <v>ATG Split Squat</v>
      </c>
      <c r="D1139" s="5" t="str">
        <f>IF(SessionMovements[[#This Row],[MovementID]]="","",
   _xlfn.XLOOKUP(SessionMovements[[#This Row],[MovementID]], MovementLibrary[MovementID], MovementLibrary[Modality], "")
)</f>
        <v>Bodyweight</v>
      </c>
      <c r="E1139" s="5" t="str">
        <f>IF(SessionMovements[[#This Row],[MovementID]]="","",
   _xlfn.XLOOKUP(SessionMovements[[#This Row],[MovementID]], MovementLibrary[MovementID], MovementLibrary[Unit], "")
)</f>
        <v>kg</v>
      </c>
      <c r="F1139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39">
        <v>5</v>
      </c>
      <c r="H1139">
        <v>5</v>
      </c>
      <c r="L1139" s="5" t="str">
        <f>IF(COUNTIF(Sessions[SessionID],SessionMovements[[#This Row],[SessionID]])=0,"❌ Missing","✔ OK")</f>
        <v>✔ OK</v>
      </c>
    </row>
    <row r="1140" spans="1:12" x14ac:dyDescent="0.3">
      <c r="A1140" t="s">
        <v>1545</v>
      </c>
      <c r="B1140" t="s">
        <v>1489</v>
      </c>
      <c r="C1140" t="str">
        <f>IF(SessionMovements[[#This Row],[MovementID]]="","",
   _xlfn.XLOOKUP(SessionMovements[[#This Row],[MovementID]],MovementLibrary[MovementID],MovementLibrary[Name],"")
)</f>
        <v>Sotts Press</v>
      </c>
      <c r="D1140" s="5" t="str">
        <f>IF(SessionMovements[[#This Row],[MovementID]]="","",
   _xlfn.XLOOKUP(SessionMovements[[#This Row],[MovementID]], MovementLibrary[MovementID], MovementLibrary[Modality], "")
)</f>
        <v>Barbell</v>
      </c>
      <c r="E1140" s="5" t="str">
        <f>IF(SessionMovements[[#This Row],[MovementID]]="","",
   _xlfn.XLOOKUP(SessionMovements[[#This Row],[MovementID]], MovementLibrary[MovementID], MovementLibrary[Unit], "")
)</f>
        <v>kg</v>
      </c>
      <c r="F1140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40">
        <v>3</v>
      </c>
      <c r="H1140">
        <v>8</v>
      </c>
      <c r="I1140">
        <v>20</v>
      </c>
      <c r="K1140" t="s">
        <v>1549</v>
      </c>
      <c r="L1140" s="5" t="str">
        <f>IF(COUNTIF(Sessions[SessionID],SessionMovements[[#This Row],[SessionID]])=0,"❌ Missing","✔ OK")</f>
        <v>✔ OK</v>
      </c>
    </row>
    <row r="1141" spans="1:12" x14ac:dyDescent="0.3">
      <c r="A1141" t="s">
        <v>1545</v>
      </c>
      <c r="B1141" t="s">
        <v>1497</v>
      </c>
      <c r="C1141" t="str">
        <f>IF(SessionMovements[[#This Row],[MovementID]]="","",
   _xlfn.XLOOKUP(SessionMovements[[#This Row],[MovementID]],MovementLibrary[MovementID],MovementLibrary[Name],"")
)</f>
        <v>BMU Hip-to-Bar Drill</v>
      </c>
      <c r="D1141" s="5" t="str">
        <f>IF(SessionMovements[[#This Row],[MovementID]]="","",
   _xlfn.XLOOKUP(SessionMovements[[#This Row],[MovementID]], MovementLibrary[MovementID], MovementLibrary[Modality], "")
)</f>
        <v>Bodyweight</v>
      </c>
      <c r="E1141" s="5" t="str">
        <f>IF(SessionMovements[[#This Row],[MovementID]]="","",
   _xlfn.XLOOKUP(SessionMovements[[#This Row],[MovementID]], MovementLibrary[MovementID], MovementLibrary[Unit], "")
)</f>
        <v>reps</v>
      </c>
      <c r="F1141" t="str">
        <f>IF( AND(ISNUMBER(#REF!), ISNUMBER(SessionMovements[[#This Row],[Sets]]), ISNUMBER(SessionMovements[[#This Row],[Reps]]), SessionMovements[[#This Row],[Unit]]="kg"),
     #REF!*SessionMovements[[#This Row],[Sets]]*SessionMovements[[#This Row],[Reps]],
     ""
)</f>
        <v/>
      </c>
      <c r="G1141">
        <v>5</v>
      </c>
      <c r="H1141">
        <v>4</v>
      </c>
      <c r="L1141" s="5" t="str">
        <f>IF(COUNTIF(Sessions[SessionID],SessionMovements[[#This Row],[SessionID]])=0,"❌ Missing","✔ OK")</f>
        <v>✔ OK</v>
      </c>
    </row>
  </sheetData>
  <phoneticPr fontId="4" type="noConversion"/>
  <conditionalFormatting sqref="A1:A399 A502:A1048576">
    <cfRule type="colorScale" priority="3">
      <colorScale>
        <cfvo type="min"/>
        <cfvo type="max"/>
        <color rgb="FFFF7128"/>
        <color rgb="FFFFEF9C"/>
      </colorScale>
    </cfRule>
  </conditionalFormatting>
  <dataValidations count="5">
    <dataValidation type="list" showInputMessage="1" showErrorMessage="1" sqref="B31:B41 B1:B18 B20:B29 B43:B63 B65:B1048576" xr:uid="{00000000-0002-0000-0800-000000000000}">
      <formula1>MovementIDs</formula1>
    </dataValidation>
    <dataValidation type="list" showInputMessage="1" showErrorMessage="1" sqref="A1:A399 A502:A1048576" xr:uid="{00000000-0002-0000-0800-000001000000}">
      <formula1>SessionIDs</formula1>
    </dataValidation>
    <dataValidation type="whole" showInputMessage="1" showErrorMessage="1" sqref="G1:G1048576" xr:uid="{00000000-0002-0000-0800-000002000000}">
      <formula1>0</formula1>
      <formula2>20</formula2>
    </dataValidation>
    <dataValidation type="decimal" showInputMessage="1" showErrorMessage="1" sqref="I1:I1048576" xr:uid="{00000000-0002-0000-0800-000003000000}">
      <formula1>0</formula1>
      <formula2>1000</formula2>
    </dataValidation>
    <dataValidation type="whole" showInputMessage="1" showErrorMessage="1" sqref="J1:J1048576" xr:uid="{00000000-0002-0000-0800-000004000000}">
      <formula1>0</formula1>
      <formula2>100</formula2>
    </dataValidation>
  </dataValidation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I19" sqref="I19"/>
    </sheetView>
  </sheetViews>
  <sheetFormatPr defaultRowHeight="14.4" x14ac:dyDescent="0.3"/>
  <cols>
    <col min="1" max="1" width="10.109375" bestFit="1" customWidth="1"/>
    <col min="2" max="2" width="11.88671875" bestFit="1" customWidth="1"/>
    <col min="3" max="3" width="9" bestFit="1" customWidth="1"/>
    <col min="4" max="4" width="13.88671875" bestFit="1" customWidth="1"/>
    <col min="5" max="5" width="17.88671875" bestFit="1" customWidth="1"/>
    <col min="6" max="6" width="18.88671875" bestFit="1" customWidth="1"/>
  </cols>
  <sheetData>
    <row r="1" spans="1:6" x14ac:dyDescent="0.3">
      <c r="A1" s="1" t="s">
        <v>217</v>
      </c>
      <c r="B1" s="1" t="s">
        <v>1271</v>
      </c>
      <c r="C1" s="1" t="s">
        <v>1272</v>
      </c>
      <c r="D1" s="1" t="s">
        <v>1273</v>
      </c>
      <c r="E1" s="1" t="s">
        <v>1274</v>
      </c>
      <c r="F1" s="1" t="s">
        <v>1275</v>
      </c>
    </row>
    <row r="2" spans="1:6" x14ac:dyDescent="0.3">
      <c r="A2" t="s">
        <v>221</v>
      </c>
      <c r="B2">
        <v>8.6833333333333336</v>
      </c>
      <c r="C2">
        <v>51</v>
      </c>
      <c r="D2">
        <v>46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selection activeCell="F16" sqref="F16"/>
    </sheetView>
  </sheetViews>
  <sheetFormatPr defaultRowHeight="14.4" x14ac:dyDescent="0.3"/>
  <cols>
    <col min="1" max="1" width="15.6640625" bestFit="1" customWidth="1"/>
    <col min="2" max="2" width="18.109375" bestFit="1" customWidth="1"/>
    <col min="3" max="3" width="9.44140625" bestFit="1" customWidth="1"/>
    <col min="4" max="4" width="16.44140625" bestFit="1" customWidth="1"/>
    <col min="5" max="5" width="9.44140625" bestFit="1" customWidth="1"/>
  </cols>
  <sheetData>
    <row r="1" spans="1:5" x14ac:dyDescent="0.3">
      <c r="A1" s="1" t="s">
        <v>1276</v>
      </c>
      <c r="B1" s="1" t="s">
        <v>21</v>
      </c>
      <c r="C1" s="1" t="s">
        <v>1277</v>
      </c>
      <c r="D1" s="1" t="s">
        <v>1278</v>
      </c>
      <c r="E1" s="1" t="s">
        <v>217</v>
      </c>
    </row>
    <row r="2" spans="1:5" x14ac:dyDescent="0.3">
      <c r="A2" t="s">
        <v>1279</v>
      </c>
      <c r="B2" t="s">
        <v>1280</v>
      </c>
    </row>
    <row r="3" spans="1:5" x14ac:dyDescent="0.3">
      <c r="A3" t="s">
        <v>1281</v>
      </c>
      <c r="B3" t="s">
        <v>1282</v>
      </c>
    </row>
    <row r="4" spans="1:5" x14ac:dyDescent="0.3">
      <c r="A4" t="s">
        <v>1283</v>
      </c>
      <c r="B4" t="s">
        <v>1284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workbookViewId="0">
      <selection activeCell="C10" sqref="C10"/>
    </sheetView>
  </sheetViews>
  <sheetFormatPr defaultRowHeight="14.4" x14ac:dyDescent="0.3"/>
  <cols>
    <col min="1" max="1" width="22.44140625" bestFit="1" customWidth="1"/>
    <col min="2" max="2" width="17.109375" bestFit="1" customWidth="1"/>
    <col min="3" max="3" width="30.33203125" bestFit="1" customWidth="1"/>
    <col min="4" max="4" width="15.33203125" bestFit="1" customWidth="1"/>
    <col min="5" max="5" width="13.109375" bestFit="1" customWidth="1"/>
  </cols>
  <sheetData>
    <row r="1" spans="1:5" x14ac:dyDescent="0.3">
      <c r="A1" s="1" t="s">
        <v>1285</v>
      </c>
      <c r="B1" s="1" t="s">
        <v>1286</v>
      </c>
      <c r="C1" s="1" t="s">
        <v>1287</v>
      </c>
      <c r="D1" s="1" t="s">
        <v>9</v>
      </c>
      <c r="E1" s="1" t="s">
        <v>1288</v>
      </c>
    </row>
    <row r="2" spans="1:5" x14ac:dyDescent="0.3">
      <c r="A2" t="s">
        <v>1289</v>
      </c>
      <c r="B2" t="s">
        <v>1290</v>
      </c>
      <c r="C2" t="s">
        <v>1291</v>
      </c>
      <c r="D2" t="s">
        <v>1292</v>
      </c>
    </row>
    <row r="3" spans="1:5" x14ac:dyDescent="0.3">
      <c r="A3" t="s">
        <v>1293</v>
      </c>
      <c r="B3" t="s">
        <v>1294</v>
      </c>
      <c r="C3" t="s">
        <v>1295</v>
      </c>
      <c r="D3" t="s">
        <v>1296</v>
      </c>
    </row>
    <row r="4" spans="1:5" x14ac:dyDescent="0.3">
      <c r="A4" t="s">
        <v>1297</v>
      </c>
      <c r="B4" t="s">
        <v>1298</v>
      </c>
      <c r="C4" t="s">
        <v>1299</v>
      </c>
      <c r="D4" t="s">
        <v>1300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C24" sqref="C24"/>
    </sheetView>
  </sheetViews>
  <sheetFormatPr defaultRowHeight="14.4" x14ac:dyDescent="0.3"/>
  <cols>
    <col min="1" max="1" width="16.6640625" bestFit="1" customWidth="1"/>
    <col min="2" max="2" width="35.5546875" bestFit="1" customWidth="1"/>
    <col min="3" max="3" width="20.5546875" style="5" customWidth="1"/>
    <col min="4" max="4" width="14.109375" style="5" bestFit="1" customWidth="1"/>
    <col min="5" max="5" width="9" style="5" bestFit="1" customWidth="1"/>
    <col min="6" max="6" width="23.33203125" style="5" customWidth="1"/>
    <col min="7" max="7" width="12" style="5" bestFit="1" customWidth="1"/>
    <col min="8" max="8" width="11.88671875" style="5" bestFit="1" customWidth="1"/>
    <col min="9" max="9" width="14.33203125" style="6" bestFit="1" customWidth="1"/>
    <col min="10" max="10" width="19.88671875" style="5" customWidth="1"/>
    <col min="11" max="11" width="14.44140625" style="12" bestFit="1" customWidth="1"/>
  </cols>
  <sheetData>
    <row r="1" spans="1:1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1301</v>
      </c>
      <c r="I1" s="4" t="s">
        <v>1302</v>
      </c>
      <c r="J1" s="1" t="s">
        <v>1303</v>
      </c>
      <c r="K1" s="10" t="s">
        <v>1304</v>
      </c>
    </row>
    <row r="2" spans="1:11" x14ac:dyDescent="0.3">
      <c r="A2" t="s">
        <v>136</v>
      </c>
      <c r="B2" t="s">
        <v>137</v>
      </c>
      <c r="C2" s="5" t="str">
        <f>_xlfn.XLOOKUP(GapAnalysis[[#This Row],[BenchmarkID]], Benchmarks[BenchmarkID], Benchmarks[Domain], "")</f>
        <v>Strength</v>
      </c>
      <c r="D2" s="5" t="s">
        <v>63</v>
      </c>
      <c r="E2" s="5" t="s">
        <v>64</v>
      </c>
      <c r="F2" s="5">
        <f>_xlfn.XLOOKUP(GapAnalysis[[#This Row],[BenchmarkID]], Benchmarks[BenchmarkID], Benchmarks[Target_40_44], "")</f>
        <v>110</v>
      </c>
      <c r="G2" s="5" t="s">
        <v>30</v>
      </c>
      <c r="H2" s="5">
        <f t="array" ref="H2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60</v>
      </c>
      <c r="I2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0.54545454545454541</v>
      </c>
      <c r="J2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2" s="11">
        <f t="array" ref="K2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46045</v>
      </c>
    </row>
    <row r="3" spans="1:11" x14ac:dyDescent="0.3">
      <c r="A3" t="s">
        <v>126</v>
      </c>
      <c r="B3" t="s">
        <v>127</v>
      </c>
      <c r="C3" s="5" t="str">
        <f>_xlfn.XLOOKUP(GapAnalysis[[#This Row],[BenchmarkID]], Benchmarks[BenchmarkID], Benchmarks[Domain], "")</f>
        <v>Strength</v>
      </c>
      <c r="D3" s="5" t="s">
        <v>63</v>
      </c>
      <c r="E3" s="5" t="s">
        <v>64</v>
      </c>
      <c r="F3" s="5">
        <f>_xlfn.XLOOKUP(GapAnalysis[[#This Row],[BenchmarkID]], Benchmarks[BenchmarkID], Benchmarks[Target_40_44], "")</f>
        <v>140</v>
      </c>
      <c r="G3" s="5" t="s">
        <v>30</v>
      </c>
      <c r="H3" s="5">
        <f t="array" ref="H3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70</v>
      </c>
      <c r="I3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0.5</v>
      </c>
      <c r="J3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3" s="11">
        <f t="array" ref="K3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45810</v>
      </c>
    </row>
    <row r="4" spans="1:11" x14ac:dyDescent="0.3">
      <c r="A4" t="s">
        <v>134</v>
      </c>
      <c r="B4" t="s">
        <v>135</v>
      </c>
      <c r="C4" s="5" t="str">
        <f>_xlfn.XLOOKUP(GapAnalysis[[#This Row],[BenchmarkID]], Benchmarks[BenchmarkID], Benchmarks[Domain], "")</f>
        <v>Strength</v>
      </c>
      <c r="D4" s="5" t="s">
        <v>63</v>
      </c>
      <c r="E4" s="5" t="s">
        <v>64</v>
      </c>
      <c r="F4" s="5">
        <f>_xlfn.XLOOKUP(GapAnalysis[[#This Row],[BenchmarkID]], Benchmarks[BenchmarkID], Benchmarks[Target_40_44], "")</f>
        <v>155</v>
      </c>
      <c r="G4" s="5" t="s">
        <v>30</v>
      </c>
      <c r="H4" s="5">
        <f t="array" ref="H4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100</v>
      </c>
      <c r="I4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0.64516129032258063</v>
      </c>
      <c r="J4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4" s="11">
        <f t="array" ref="K4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46007</v>
      </c>
    </row>
    <row r="5" spans="1:11" x14ac:dyDescent="0.3">
      <c r="A5" t="s">
        <v>132</v>
      </c>
      <c r="B5" t="s">
        <v>133</v>
      </c>
      <c r="C5" s="5" t="str">
        <f>_xlfn.XLOOKUP(GapAnalysis[[#This Row],[BenchmarkID]], Benchmarks[BenchmarkID], Benchmarks[Domain], "")</f>
        <v>Strength</v>
      </c>
      <c r="D5" s="5" t="s">
        <v>63</v>
      </c>
      <c r="E5" s="5" t="s">
        <v>64</v>
      </c>
      <c r="F5" s="5">
        <f>_xlfn.XLOOKUP(GapAnalysis[[#This Row],[BenchmarkID]], Benchmarks[BenchmarkID], Benchmarks[Target_40_44], "")</f>
        <v>195</v>
      </c>
      <c r="G5" s="5" t="s">
        <v>30</v>
      </c>
      <c r="H5" s="5">
        <f t="array" ref="H5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170</v>
      </c>
      <c r="I5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0.87179487179487181</v>
      </c>
      <c r="J5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On Track</v>
      </c>
      <c r="K5" s="11">
        <f t="array" ref="K5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45889</v>
      </c>
    </row>
    <row r="6" spans="1:11" x14ac:dyDescent="0.3">
      <c r="A6" t="s">
        <v>115</v>
      </c>
      <c r="B6" t="s">
        <v>116</v>
      </c>
      <c r="C6" s="5" t="str">
        <f>_xlfn.XLOOKUP(GapAnalysis[[#This Row],[BenchmarkID]], Benchmarks[BenchmarkID], Benchmarks[Domain], "")</f>
        <v>Strength</v>
      </c>
      <c r="D6" s="5" t="s">
        <v>63</v>
      </c>
      <c r="E6" s="5" t="s">
        <v>64</v>
      </c>
      <c r="F6" s="5">
        <f>_xlfn.XLOOKUP(GapAnalysis[[#This Row],[BenchmarkID]], Benchmarks[BenchmarkID], Benchmarks[Target_40_44], "")</f>
        <v>80</v>
      </c>
      <c r="G6" s="5" t="s">
        <v>30</v>
      </c>
      <c r="H6" s="5">
        <f t="array" ref="H6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60</v>
      </c>
      <c r="I6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0.75</v>
      </c>
      <c r="J6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6" s="11" t="str">
        <f t="array" ref="K6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2025-08-14</v>
      </c>
    </row>
    <row r="7" spans="1:11" x14ac:dyDescent="0.3">
      <c r="A7" t="s">
        <v>100</v>
      </c>
      <c r="B7" t="s">
        <v>101</v>
      </c>
      <c r="C7" s="5" t="str">
        <f>_xlfn.XLOOKUP(GapAnalysis[[#This Row],[BenchmarkID]], Benchmarks[BenchmarkID], Benchmarks[Domain], "")</f>
        <v>Gymnastics</v>
      </c>
      <c r="D7" s="5" t="s">
        <v>29</v>
      </c>
      <c r="E7" s="5" t="s">
        <v>29</v>
      </c>
      <c r="F7" s="5">
        <f>_xlfn.XLOOKUP(GapAnalysis[[#This Row],[BenchmarkID]], Benchmarks[BenchmarkID], Benchmarks[Target_40_44], "")</f>
        <v>10</v>
      </c>
      <c r="G7" s="5" t="s">
        <v>30</v>
      </c>
      <c r="H7" s="5">
        <f t="array" ref="H7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0</v>
      </c>
      <c r="I7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</v>
      </c>
      <c r="J7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7" s="11" t="str">
        <f t="array" ref="K7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2025-08-14</v>
      </c>
    </row>
    <row r="8" spans="1:11" x14ac:dyDescent="0.3">
      <c r="A8" t="s">
        <v>38</v>
      </c>
      <c r="B8" t="s">
        <v>39</v>
      </c>
      <c r="C8" s="5" t="str">
        <f>_xlfn.XLOOKUP(GapAnalysis[[#This Row],[BenchmarkID]], Benchmarks[BenchmarkID], Benchmarks[Domain], "")</f>
        <v>Engine</v>
      </c>
      <c r="D8" s="5" t="s">
        <v>29</v>
      </c>
      <c r="E8" s="5" t="s">
        <v>29</v>
      </c>
      <c r="F8" s="5">
        <f>_xlfn.XLOOKUP(GapAnalysis[[#This Row],[BenchmarkID]], Benchmarks[BenchmarkID], Benchmarks[Target_40_44], "")</f>
        <v>150</v>
      </c>
      <c r="G8" s="5" t="s">
        <v>30</v>
      </c>
      <c r="H8" s="5">
        <f t="array" ref="H8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100</v>
      </c>
      <c r="I8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0.66666666666666663</v>
      </c>
      <c r="J8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8" s="11" t="str">
        <f t="array" ref="K8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2025-08-14</v>
      </c>
    </row>
    <row r="9" spans="1:11" x14ac:dyDescent="0.3">
      <c r="A9" t="s">
        <v>82</v>
      </c>
      <c r="B9" t="s">
        <v>83</v>
      </c>
      <c r="C9" s="5" t="str">
        <f>_xlfn.XLOOKUP(GapAnalysis[[#This Row],[BenchmarkID]], Benchmarks[BenchmarkID], Benchmarks[Domain], "")</f>
        <v>Gymnastics</v>
      </c>
      <c r="D9" s="5" t="s">
        <v>84</v>
      </c>
      <c r="E9" s="5" t="s">
        <v>85</v>
      </c>
      <c r="F9" s="5">
        <f>_xlfn.XLOOKUP(GapAnalysis[[#This Row],[BenchmarkID]], Benchmarks[BenchmarkID], Benchmarks[Target_40_44], "")</f>
        <v>25</v>
      </c>
      <c r="G9" s="5" t="s">
        <v>30</v>
      </c>
      <c r="H9" s="5">
        <f t="array" ref="H9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0</v>
      </c>
      <c r="I9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</v>
      </c>
      <c r="J9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9" s="11" t="str">
        <f t="array" ref="K9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2025-08-14</v>
      </c>
    </row>
    <row r="10" spans="1:11" x14ac:dyDescent="0.3">
      <c r="A10" t="s">
        <v>47</v>
      </c>
      <c r="B10" t="s">
        <v>48</v>
      </c>
      <c r="C10" s="5" t="str">
        <f>_xlfn.XLOOKUP(GapAnalysis[[#This Row],[BenchmarkID]], Benchmarks[BenchmarkID], Benchmarks[Domain], "")</f>
        <v>Engine</v>
      </c>
      <c r="D10" s="5" t="s">
        <v>43</v>
      </c>
      <c r="E10" s="5" t="s">
        <v>44</v>
      </c>
      <c r="F10" s="5">
        <f>_xlfn.XLOOKUP(GapAnalysis[[#This Row],[BenchmarkID]], Benchmarks[BenchmarkID], Benchmarks[Target_40_44], "")</f>
        <v>90</v>
      </c>
      <c r="G10" s="5" t="s">
        <v>45</v>
      </c>
      <c r="H10" s="5">
        <f t="array" ref="H10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100</v>
      </c>
      <c r="I10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0.9</v>
      </c>
      <c r="J10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On Track</v>
      </c>
      <c r="K10" s="11" t="str">
        <f t="array" ref="K10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2025-08-14</v>
      </c>
    </row>
    <row r="11" spans="1:11" x14ac:dyDescent="0.3">
      <c r="A11" t="s">
        <v>41</v>
      </c>
      <c r="B11" t="s">
        <v>42</v>
      </c>
      <c r="C11" s="5" t="str">
        <f>_xlfn.XLOOKUP(GapAnalysis[[#This Row],[BenchmarkID]], Benchmarks[BenchmarkID], Benchmarks[Domain], "")</f>
        <v>Engine</v>
      </c>
      <c r="D11" s="5" t="s">
        <v>43</v>
      </c>
      <c r="E11" s="5" t="s">
        <v>44</v>
      </c>
      <c r="F11" s="5">
        <f>_xlfn.XLOOKUP(GapAnalysis[[#This Row],[BenchmarkID]], Benchmarks[BenchmarkID], Benchmarks[Target_40_44], "")</f>
        <v>450</v>
      </c>
      <c r="G11" s="5" t="s">
        <v>45</v>
      </c>
      <c r="H11" s="5">
        <f t="array" ref="H11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540</v>
      </c>
      <c r="I11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0.83333333333333337</v>
      </c>
      <c r="J11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On Track</v>
      </c>
      <c r="K11" s="11" t="str">
        <f t="array" ref="K11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2025-08-14</v>
      </c>
    </row>
    <row r="12" spans="1:11" x14ac:dyDescent="0.3">
      <c r="A12" t="s">
        <v>151</v>
      </c>
      <c r="B12" t="s">
        <v>152</v>
      </c>
      <c r="C12" s="5" t="str">
        <f>_xlfn.XLOOKUP(GapAnalysis[[#This Row],[BenchmarkID]], Benchmarks[BenchmarkID], Benchmarks[Domain], "")</f>
        <v>Metcon</v>
      </c>
      <c r="D12" s="5" t="s">
        <v>43</v>
      </c>
      <c r="E12" s="5" t="s">
        <v>44</v>
      </c>
      <c r="F12" s="5">
        <f>_xlfn.XLOOKUP(GapAnalysis[[#This Row],[BenchmarkID]], Benchmarks[BenchmarkID], Benchmarks[Target_40_44], "")</f>
        <v>195</v>
      </c>
      <c r="G12" s="5" t="s">
        <v>45</v>
      </c>
      <c r="H12" s="5">
        <f t="array" ref="H12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0</v>
      </c>
      <c r="I12" s="6" t="str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/>
      </c>
      <c r="J12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Above Target</v>
      </c>
      <c r="K12" s="11" t="str">
        <f t="array" ref="K12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/>
      </c>
    </row>
    <row r="13" spans="1:11" x14ac:dyDescent="0.3">
      <c r="A13" t="s">
        <v>145</v>
      </c>
      <c r="B13" t="s">
        <v>146</v>
      </c>
      <c r="C13" s="5" t="str">
        <f>_xlfn.XLOOKUP(GapAnalysis[[#This Row],[BenchmarkID]], Benchmarks[BenchmarkID], Benchmarks[Domain], "")</f>
        <v>Metcon</v>
      </c>
      <c r="D13" s="5" t="s">
        <v>29</v>
      </c>
      <c r="E13" s="5" t="s">
        <v>29</v>
      </c>
      <c r="F13" s="5">
        <f>_xlfn.XLOOKUP(GapAnalysis[[#This Row],[BenchmarkID]], Benchmarks[BenchmarkID], Benchmarks[Target_40_44], "")</f>
        <v>300</v>
      </c>
      <c r="G13" s="5" t="s">
        <v>30</v>
      </c>
      <c r="H13" s="5">
        <f t="array" ref="H13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0</v>
      </c>
      <c r="I13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</v>
      </c>
      <c r="J13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13" s="11" t="str">
        <f t="array" ref="K13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/>
      </c>
    </row>
    <row r="14" spans="1:11" x14ac:dyDescent="0.3">
      <c r="A14" t="s">
        <v>147</v>
      </c>
      <c r="B14" t="s">
        <v>148</v>
      </c>
      <c r="C14" s="5" t="str">
        <f>_xlfn.XLOOKUP(GapAnalysis[[#This Row],[BenchmarkID]], Benchmarks[BenchmarkID], Benchmarks[Domain], "")</f>
        <v>Metcon</v>
      </c>
      <c r="D14" s="5" t="s">
        <v>29</v>
      </c>
      <c r="E14" s="5" t="s">
        <v>29</v>
      </c>
      <c r="F14" s="5">
        <f>_xlfn.XLOOKUP(GapAnalysis[[#This Row],[BenchmarkID]], Benchmarks[BenchmarkID], Benchmarks[Target_40_44], "")</f>
        <v>450</v>
      </c>
      <c r="G14" s="5" t="s">
        <v>30</v>
      </c>
      <c r="H14" s="5">
        <f t="array" ref="H14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0</v>
      </c>
      <c r="I14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</v>
      </c>
      <c r="J14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14" s="11" t="str">
        <f t="array" ref="K14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/>
      </c>
    </row>
    <row r="15" spans="1:11" x14ac:dyDescent="0.3">
      <c r="A15" t="s">
        <v>120</v>
      </c>
      <c r="B15" t="s">
        <v>121</v>
      </c>
      <c r="C15" s="5" t="str">
        <f>_xlfn.XLOOKUP(GapAnalysis[[#This Row],[BenchmarkID]], Benchmarks[BenchmarkID], Benchmarks[Domain], "")</f>
        <v>Strength</v>
      </c>
      <c r="D15" s="5" t="s">
        <v>63</v>
      </c>
      <c r="E15" s="5" t="s">
        <v>64</v>
      </c>
      <c r="F15" s="5">
        <f>_xlfn.XLOOKUP(GapAnalysis[[#This Row],[BenchmarkID]], Benchmarks[BenchmarkID], Benchmarks[Target_40_44], "")</f>
        <v>180</v>
      </c>
      <c r="G15" s="5" t="s">
        <v>30</v>
      </c>
      <c r="H15" s="5">
        <f t="array" ref="H15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110</v>
      </c>
      <c r="I15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0.61111111111111116</v>
      </c>
      <c r="J15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Needs Work</v>
      </c>
      <c r="K15" s="11">
        <f t="array" ref="K15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45809</v>
      </c>
    </row>
    <row r="16" spans="1:11" x14ac:dyDescent="0.3">
      <c r="A16" t="s">
        <v>55</v>
      </c>
      <c r="B16" t="s">
        <v>1305</v>
      </c>
      <c r="C16" s="5" t="str">
        <f>_xlfn.XLOOKUP(GapAnalysis[[#This Row],[BenchmarkID]], Benchmarks[BenchmarkID], Benchmarks[Domain], "")</f>
        <v>Engine</v>
      </c>
      <c r="D16" s="5" t="s">
        <v>43</v>
      </c>
      <c r="E16" s="5" t="s">
        <v>44</v>
      </c>
      <c r="F16" s="5">
        <f>_xlfn.XLOOKUP(GapAnalysis[[#This Row],[BenchmarkID]], Benchmarks[BenchmarkID], Benchmarks[Target_40_44], "")</f>
        <v>1200</v>
      </c>
      <c r="G16" s="5" t="s">
        <v>45</v>
      </c>
      <c r="H16" s="5">
        <f t="array" ref="H16">_xlfn.LET(
  _xlpm.id, GapAnalysis[[#This Row],[BenchmarkID]],
  _xlpm.better, _xlfn.XLOOKUP(_xlpm.id, Benchmarks[BenchmarkID], Benchmarks[BetterIs]),
  _xlpm.prCount, COUNTIFS(PR_History[BenchmarkID], _xlpm.id),
  _xlpm.prVal, IF(_xlpm.prCount=0, "",
            IF(_xlpm.better="Higher",
               _xlfn.MAXIFS(PR_History[Result], PR_History[BenchmarkID], _xlpm.id),
               _xlfn.MINIFS(PR_History[Result], PR_History[BenchmarkID], _xlpm.id)
            )
        ),
  IF(_xlpm.prCount&gt;0,
     _xlpm.prVal,
     IFERROR(LOOKUP(2,1/(BenchmarkResults[BenchmarkID]=_xlpm.id), BenchmarkResults[Score]), "")
  )
)</f>
        <v>1350</v>
      </c>
      <c r="I16" s="6">
        <f>IF(
  OR(GapAnalysis[[#This Row],[Target_40_44]]="",GapAnalysis[[#This Row],[Current]]=""),
  "",
  IF(GapAnalysis[[#This Row],[BetterIs]]="Higher",
     IF(GapAnalysis[[#This Row],[Target_40_44]]&gt;0, GapAnalysis[[#This Row],[Current]]/GapAnalysis[[#This Row],[Target_40_44]], ""),
     IF(GapAnalysis[[#This Row],[Current]]&gt;0, GapAnalysis[[#This Row],[Target_40_44]]/GapAnalysis[[#This Row],[Current]], "")
  )
)</f>
        <v>0.88888888888888884</v>
      </c>
      <c r="J16" s="5" t="str">
        <f>IF(OR(GapAnalysis[[#This Row],[Target_40_44]]="",GapAnalysis[[#This Row],[Current]]=""),"Not tested",
   IF(GapAnalysis[[#This Row],[%ToTarget]]&gt;=1.1,"Above Target",
      IF(GapAnalysis[[#This Row],[%ToTarget]]&gt;=1,"At Target",
         IF(GapAnalysis[[#This Row],[%ToTarget]]&gt;=0.95,"Close",
            IF(GapAnalysis[[#This Row],[%ToTarget]]&gt;=0.8,"On Track","Needs Work")
         )
      )
   )
)</f>
        <v>On Track</v>
      </c>
      <c r="K16" s="11">
        <f t="array" ref="K16">_xlfn.LET(
  _xlpm.id, GapAnalysis[[#This Row],[BenchmarkID]],
  _xlpm.prDate, IFERROR(_xlfn.MAXIFS(PR_History[Date], PR_History[BenchmarkID], _xlpm.id), DATE(0,1,1)),
  _xlpm.resDate, IFERROR(LOOKUP(2,1/(BenchmarkResults[BenchmarkID]=_xlpm.id), BenchmarkResults[Date]), DATE(0,1,1)),
  IF(_xlpm.prDate&gt;DATE(0,1,1), _xlpm.prDate, IF(_xlpm.resDate&gt;DATE(0,1,1), _xlpm.resDate, ""))
)</f>
        <v>45983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>
      <selection activeCell="G18" sqref="G18"/>
    </sheetView>
  </sheetViews>
  <sheetFormatPr defaultRowHeight="14.4" x14ac:dyDescent="0.3"/>
  <cols>
    <col min="1" max="1" width="10.44140625" style="8" bestFit="1" customWidth="1"/>
    <col min="2" max="2" width="25.21875" style="8" bestFit="1" customWidth="1"/>
    <col min="3" max="3" width="20" style="7" bestFit="1" customWidth="1"/>
    <col min="4" max="4" width="13.88671875" style="7" bestFit="1" customWidth="1"/>
    <col min="5" max="5" width="8.88671875" style="7" bestFit="1" customWidth="1"/>
    <col min="6" max="6" width="10.5546875" style="7" bestFit="1" customWidth="1"/>
    <col min="7" max="7" width="10.33203125" style="7" bestFit="1" customWidth="1"/>
    <col min="8" max="8" width="8.88671875" style="7" bestFit="1" customWidth="1"/>
    <col min="9" max="9" width="14" style="7" bestFit="1" customWidth="1"/>
  </cols>
  <sheetData>
    <row r="1" spans="1:9" x14ac:dyDescent="0.3">
      <c r="A1" s="8" t="s">
        <v>217</v>
      </c>
      <c r="B1" s="8" t="s">
        <v>20</v>
      </c>
      <c r="C1" s="7" t="s">
        <v>1306</v>
      </c>
      <c r="D1" s="7" t="s">
        <v>23</v>
      </c>
      <c r="E1" s="7" t="s">
        <v>24</v>
      </c>
      <c r="F1" s="7" t="s">
        <v>1307</v>
      </c>
      <c r="G1" s="7" t="s">
        <v>9</v>
      </c>
      <c r="H1" s="7" t="s">
        <v>1308</v>
      </c>
      <c r="I1" s="7" t="s">
        <v>1309</v>
      </c>
    </row>
    <row r="2" spans="1:9" x14ac:dyDescent="0.3">
      <c r="A2" s="9">
        <v>45809</v>
      </c>
      <c r="B2" s="8" t="s">
        <v>120</v>
      </c>
      <c r="C2" s="7" t="s">
        <v>121</v>
      </c>
      <c r="D2" s="7" t="s">
        <v>63</v>
      </c>
      <c r="E2" s="7" t="s">
        <v>64</v>
      </c>
      <c r="F2" s="7">
        <v>110</v>
      </c>
      <c r="H2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2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3" spans="1:9" x14ac:dyDescent="0.3">
      <c r="A3" s="9">
        <v>45810</v>
      </c>
      <c r="B3" s="8" t="s">
        <v>126</v>
      </c>
      <c r="C3" s="7" t="s">
        <v>127</v>
      </c>
      <c r="D3" s="7" t="s">
        <v>63</v>
      </c>
      <c r="E3" s="7" t="s">
        <v>64</v>
      </c>
      <c r="F3" s="7">
        <v>70</v>
      </c>
      <c r="H3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3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4" spans="1:9" x14ac:dyDescent="0.3">
      <c r="A4" s="9">
        <v>45811</v>
      </c>
      <c r="B4" s="8" t="s">
        <v>132</v>
      </c>
      <c r="C4" s="7" t="s">
        <v>133</v>
      </c>
      <c r="D4" s="7" t="s">
        <v>63</v>
      </c>
      <c r="E4" s="7" t="s">
        <v>64</v>
      </c>
      <c r="F4" s="7">
        <v>135</v>
      </c>
      <c r="H4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0</v>
      </c>
      <c r="I4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0</v>
      </c>
    </row>
    <row r="5" spans="1:9" x14ac:dyDescent="0.3">
      <c r="A5" s="9">
        <v>45812</v>
      </c>
      <c r="B5" s="8" t="s">
        <v>134</v>
      </c>
      <c r="C5" s="7" t="s">
        <v>135</v>
      </c>
      <c r="D5" s="7" t="s">
        <v>63</v>
      </c>
      <c r="E5" s="7" t="s">
        <v>64</v>
      </c>
      <c r="F5" s="7">
        <v>85</v>
      </c>
      <c r="H5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0</v>
      </c>
      <c r="I5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0</v>
      </c>
    </row>
    <row r="6" spans="1:9" x14ac:dyDescent="0.3">
      <c r="A6" s="9">
        <v>45838</v>
      </c>
      <c r="B6" s="8" t="s">
        <v>136</v>
      </c>
      <c r="C6" s="7" t="s">
        <v>137</v>
      </c>
      <c r="D6" s="7" t="s">
        <v>63</v>
      </c>
      <c r="E6" s="7" t="s">
        <v>64</v>
      </c>
      <c r="F6" s="7">
        <v>55</v>
      </c>
      <c r="H6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0</v>
      </c>
      <c r="I6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0</v>
      </c>
    </row>
    <row r="7" spans="1:9" x14ac:dyDescent="0.3">
      <c r="A7" s="9">
        <v>45778</v>
      </c>
      <c r="B7" s="8" t="s">
        <v>128</v>
      </c>
      <c r="C7" s="7" t="s">
        <v>129</v>
      </c>
      <c r="D7" s="7" t="s">
        <v>63</v>
      </c>
      <c r="E7" s="7" t="s">
        <v>64</v>
      </c>
      <c r="F7" s="7">
        <v>70</v>
      </c>
      <c r="H7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7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8" spans="1:9" x14ac:dyDescent="0.3">
      <c r="A8" s="9">
        <v>45778</v>
      </c>
      <c r="B8" s="8" t="s">
        <v>130</v>
      </c>
      <c r="C8" s="7" t="s">
        <v>131</v>
      </c>
      <c r="D8" s="7" t="s">
        <v>63</v>
      </c>
      <c r="E8" s="7" t="s">
        <v>64</v>
      </c>
      <c r="F8" s="7">
        <v>70</v>
      </c>
      <c r="H8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8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9" spans="1:9" x14ac:dyDescent="0.3">
      <c r="A9" s="9">
        <v>45778</v>
      </c>
      <c r="B9" s="8" t="s">
        <v>118</v>
      </c>
      <c r="C9" s="7" t="s">
        <v>1310</v>
      </c>
      <c r="D9" s="7" t="s">
        <v>63</v>
      </c>
      <c r="E9" s="7" t="s">
        <v>64</v>
      </c>
      <c r="F9" s="7">
        <v>85</v>
      </c>
      <c r="H9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0</v>
      </c>
      <c r="I9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0</v>
      </c>
    </row>
    <row r="10" spans="1:9" x14ac:dyDescent="0.3">
      <c r="A10" s="9">
        <v>45778</v>
      </c>
      <c r="B10" s="8" t="s">
        <v>141</v>
      </c>
      <c r="C10" s="7" t="s">
        <v>142</v>
      </c>
      <c r="D10" s="7" t="s">
        <v>63</v>
      </c>
      <c r="E10" s="7" t="s">
        <v>64</v>
      </c>
      <c r="F10" s="7">
        <v>40</v>
      </c>
      <c r="H10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0</v>
      </c>
      <c r="I10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0</v>
      </c>
    </row>
    <row r="11" spans="1:9" x14ac:dyDescent="0.3">
      <c r="A11" s="9">
        <v>45778</v>
      </c>
      <c r="B11" s="8" t="s">
        <v>143</v>
      </c>
      <c r="C11" s="7" t="s">
        <v>1311</v>
      </c>
      <c r="D11" s="7" t="s">
        <v>63</v>
      </c>
      <c r="E11" s="7" t="s">
        <v>64</v>
      </c>
      <c r="F11" s="7">
        <v>60</v>
      </c>
      <c r="H11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1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12" spans="1:9" x14ac:dyDescent="0.3">
      <c r="A12" s="9">
        <v>45889</v>
      </c>
      <c r="B12" s="8" t="s">
        <v>132</v>
      </c>
      <c r="C12" s="7" t="s">
        <v>133</v>
      </c>
      <c r="D12" s="7" t="s">
        <v>63</v>
      </c>
      <c r="E12" s="7" t="s">
        <v>64</v>
      </c>
      <c r="F12" s="7">
        <v>170</v>
      </c>
      <c r="H12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2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13" spans="1:9" x14ac:dyDescent="0.3">
      <c r="A13" s="9">
        <v>45889</v>
      </c>
      <c r="B13" s="8" t="s">
        <v>118</v>
      </c>
      <c r="C13" s="7" t="s">
        <v>1310</v>
      </c>
      <c r="D13" s="7" t="s">
        <v>63</v>
      </c>
      <c r="E13" s="7" t="s">
        <v>64</v>
      </c>
      <c r="F13" s="7">
        <v>90</v>
      </c>
      <c r="H13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3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14" spans="1:9" x14ac:dyDescent="0.3">
      <c r="A14" s="9">
        <v>45985</v>
      </c>
      <c r="B14" s="8" t="s">
        <v>141</v>
      </c>
      <c r="C14" s="7" t="s">
        <v>142</v>
      </c>
      <c r="D14" s="7" t="s">
        <v>63</v>
      </c>
      <c r="E14" s="7" t="s">
        <v>64</v>
      </c>
      <c r="F14" s="7">
        <v>50</v>
      </c>
      <c r="H14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0</v>
      </c>
      <c r="I14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0</v>
      </c>
    </row>
    <row r="15" spans="1:9" x14ac:dyDescent="0.3">
      <c r="A15" s="9">
        <v>46007</v>
      </c>
      <c r="B15" s="8" t="s">
        <v>134</v>
      </c>
      <c r="C15" s="7" t="s">
        <v>135</v>
      </c>
      <c r="D15" s="7" t="s">
        <v>63</v>
      </c>
      <c r="E15" s="7" t="s">
        <v>64</v>
      </c>
      <c r="F15" s="7">
        <v>100</v>
      </c>
      <c r="H15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5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16" spans="1:9" x14ac:dyDescent="0.3">
      <c r="A16" s="9">
        <v>46009</v>
      </c>
      <c r="B16" s="8" t="s">
        <v>141</v>
      </c>
      <c r="C16" s="7" t="s">
        <v>142</v>
      </c>
      <c r="D16" s="7" t="s">
        <v>63</v>
      </c>
      <c r="E16" s="7" t="s">
        <v>64</v>
      </c>
      <c r="F16" s="7">
        <v>70</v>
      </c>
      <c r="H16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6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17" spans="1:9" x14ac:dyDescent="0.3">
      <c r="A17" s="9">
        <v>46019</v>
      </c>
      <c r="B17" s="8" t="s">
        <v>1468</v>
      </c>
      <c r="C17" s="7" t="s">
        <v>1466</v>
      </c>
      <c r="D17" s="7" t="s">
        <v>63</v>
      </c>
      <c r="E17" s="7" t="s">
        <v>64</v>
      </c>
      <c r="F17" s="7">
        <v>40</v>
      </c>
      <c r="H17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7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  <row r="18" spans="1:9" x14ac:dyDescent="0.3">
      <c r="A18" s="9">
        <v>46045</v>
      </c>
      <c r="B18" s="8" t="s">
        <v>136</v>
      </c>
      <c r="C18" s="7" t="s">
        <v>137</v>
      </c>
      <c r="D18" s="7" t="s">
        <v>63</v>
      </c>
      <c r="E18" s="7" t="s">
        <v>64</v>
      </c>
      <c r="F18" s="7">
        <v>60</v>
      </c>
      <c r="H18" s="7" t="b">
        <f>PR_History[[#This Row],[Result]] =
 _xlfn.MAXIFS(
   PR_History[Result],
   PR_History[Movement Name], PR_History[[#This Row],[Movement Name]],
   PR_History[ScoreType], PR_History[[#This Row],[ScoreType]],
   PR_History[Unit], PR_History[[#This Row],[Unit]]
 )</f>
        <v>1</v>
      </c>
      <c r="I18" s="7" t="b">
        <f>AND(
  PR_History[[#This Row],[IsPR]],
  PR_History[[#This Row],[Date]] =
    _xlfn.MAXIFS(
      PR_History[Date],
      PR_History[Movement Name], PR_History[[#This Row],[Movement Name]],
      PR_History[Result], PR_History[[#This Row],[Result]],
      PR_History[ScoreType], PR_History[[#This Row],[ScoreType]],
      PR_History[Unit], PR_History[[#This Row],[Unit]]
    )
)</f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8DBC-C233-4987-B99B-F774693953A6}">
  <dimension ref="A1:E15"/>
  <sheetViews>
    <sheetView workbookViewId="0">
      <pane ySplit="1" topLeftCell="A2" activePane="bottomLeft" state="frozen"/>
      <selection pane="bottomLeft" activeCell="E30" sqref="E30"/>
    </sheetView>
  </sheetViews>
  <sheetFormatPr defaultRowHeight="14.4" x14ac:dyDescent="0.3"/>
  <cols>
    <col min="1" max="1" width="21.109375" bestFit="1" customWidth="1"/>
    <col min="2" max="2" width="9.44140625" bestFit="1" customWidth="1"/>
    <col min="3" max="3" width="12.33203125" bestFit="1" customWidth="1"/>
    <col min="4" max="4" width="11.109375" bestFit="1" customWidth="1"/>
    <col min="5" max="5" width="13.6640625" bestFit="1" customWidth="1"/>
  </cols>
  <sheetData>
    <row r="1" spans="1:5" x14ac:dyDescent="0.3">
      <c r="A1" t="s">
        <v>253</v>
      </c>
      <c r="B1" t="s">
        <v>1312</v>
      </c>
      <c r="C1" t="s">
        <v>1313</v>
      </c>
      <c r="D1" t="s">
        <v>1314</v>
      </c>
      <c r="E1" t="s">
        <v>9</v>
      </c>
    </row>
    <row r="2" spans="1:5" x14ac:dyDescent="0.3">
      <c r="A2" t="s">
        <v>260</v>
      </c>
      <c r="B2">
        <v>55</v>
      </c>
      <c r="C2" s="2">
        <v>45838</v>
      </c>
      <c r="D2" t="s">
        <v>1315</v>
      </c>
      <c r="E2" t="s">
        <v>1316</v>
      </c>
    </row>
    <row r="3" spans="1:5" x14ac:dyDescent="0.3">
      <c r="A3" t="s">
        <v>264</v>
      </c>
      <c r="B3">
        <v>70</v>
      </c>
      <c r="C3" s="2">
        <v>45778</v>
      </c>
      <c r="D3" t="s">
        <v>1315</v>
      </c>
      <c r="E3" t="s">
        <v>1316</v>
      </c>
    </row>
    <row r="4" spans="1:5" x14ac:dyDescent="0.3">
      <c r="A4" t="s">
        <v>261</v>
      </c>
      <c r="B4">
        <v>70</v>
      </c>
      <c r="C4" s="2">
        <v>45810</v>
      </c>
      <c r="D4" t="s">
        <v>1315</v>
      </c>
      <c r="E4" t="s">
        <v>1316</v>
      </c>
    </row>
    <row r="5" spans="1:5" x14ac:dyDescent="0.3">
      <c r="A5" t="s">
        <v>296</v>
      </c>
      <c r="B5">
        <v>85</v>
      </c>
      <c r="C5" s="2">
        <v>45812</v>
      </c>
      <c r="D5" t="s">
        <v>1315</v>
      </c>
      <c r="E5" t="s">
        <v>1316</v>
      </c>
    </row>
    <row r="6" spans="1:5" x14ac:dyDescent="0.3">
      <c r="A6" t="s">
        <v>298</v>
      </c>
      <c r="B6">
        <v>110</v>
      </c>
      <c r="C6" s="2">
        <v>45809</v>
      </c>
      <c r="D6" t="s">
        <v>1315</v>
      </c>
      <c r="E6" t="s">
        <v>1316</v>
      </c>
    </row>
    <row r="7" spans="1:5" x14ac:dyDescent="0.3">
      <c r="A7" t="s">
        <v>304</v>
      </c>
      <c r="B7">
        <v>170</v>
      </c>
      <c r="C7" s="2">
        <v>45889</v>
      </c>
      <c r="D7" t="s">
        <v>1315</v>
      </c>
      <c r="E7" t="s">
        <v>1316</v>
      </c>
    </row>
    <row r="8" spans="1:5" x14ac:dyDescent="0.3">
      <c r="A8" t="s">
        <v>256</v>
      </c>
      <c r="B8">
        <v>90</v>
      </c>
      <c r="C8" s="2">
        <v>45889</v>
      </c>
      <c r="D8" t="s">
        <v>1315</v>
      </c>
      <c r="E8" t="s">
        <v>1316</v>
      </c>
    </row>
    <row r="9" spans="1:5" x14ac:dyDescent="0.3">
      <c r="A9" t="s">
        <v>258</v>
      </c>
      <c r="B9">
        <v>50</v>
      </c>
      <c r="C9" s="2">
        <v>45778</v>
      </c>
      <c r="D9" t="s">
        <v>1315</v>
      </c>
      <c r="E9" t="s">
        <v>1316</v>
      </c>
    </row>
    <row r="10" spans="1:5" x14ac:dyDescent="0.3">
      <c r="A10" t="s">
        <v>263</v>
      </c>
      <c r="B10">
        <v>70</v>
      </c>
      <c r="C10" s="2">
        <v>45960</v>
      </c>
      <c r="D10" t="s">
        <v>1315</v>
      </c>
      <c r="E10" t="s">
        <v>1316</v>
      </c>
    </row>
    <row r="11" spans="1:5" x14ac:dyDescent="0.3">
      <c r="A11" t="s">
        <v>264</v>
      </c>
      <c r="B11">
        <v>80</v>
      </c>
      <c r="C11" s="2">
        <v>45969</v>
      </c>
      <c r="D11" t="s">
        <v>1315</v>
      </c>
      <c r="E11" t="s">
        <v>1317</v>
      </c>
    </row>
    <row r="12" spans="1:5" x14ac:dyDescent="0.3">
      <c r="A12" t="s">
        <v>296</v>
      </c>
      <c r="B12">
        <v>100</v>
      </c>
      <c r="C12" s="2">
        <v>46007</v>
      </c>
      <c r="D12" t="s">
        <v>1315</v>
      </c>
      <c r="E12" t="s">
        <v>1400</v>
      </c>
    </row>
    <row r="13" spans="1:5" x14ac:dyDescent="0.3">
      <c r="A13" t="s">
        <v>258</v>
      </c>
      <c r="B13">
        <v>70</v>
      </c>
      <c r="C13" s="2">
        <v>46009</v>
      </c>
      <c r="D13" t="s">
        <v>1315</v>
      </c>
      <c r="E13" t="s">
        <v>1400</v>
      </c>
    </row>
    <row r="14" spans="1:5" x14ac:dyDescent="0.3">
      <c r="A14" t="s">
        <v>1465</v>
      </c>
      <c r="B14">
        <v>40</v>
      </c>
      <c r="C14" s="2">
        <v>46019</v>
      </c>
      <c r="D14" t="s">
        <v>1315</v>
      </c>
      <c r="E14" t="s">
        <v>1316</v>
      </c>
    </row>
    <row r="15" spans="1:5" x14ac:dyDescent="0.3">
      <c r="A15" t="s">
        <v>260</v>
      </c>
      <c r="B15">
        <v>60</v>
      </c>
      <c r="C15" s="2">
        <v>46045</v>
      </c>
      <c r="D15" t="s">
        <v>1315</v>
      </c>
      <c r="E15" t="s">
        <v>1400</v>
      </c>
    </row>
  </sheetData>
  <dataValidations count="1">
    <dataValidation type="list" allowBlank="1" showInputMessage="1" showErrorMessage="1" sqref="A2:A15" xr:uid="{4E278016-1564-449A-8A26-119E0795914B}">
      <formula1>MovementIDs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0"/>
  <sheetViews>
    <sheetView workbookViewId="0">
      <selection activeCell="G17" sqref="G17"/>
    </sheetView>
  </sheetViews>
  <sheetFormatPr defaultRowHeight="14.4" x14ac:dyDescent="0.3"/>
  <sheetData>
    <row r="1" spans="1:33" x14ac:dyDescent="0.3">
      <c r="A1" t="s">
        <v>1318</v>
      </c>
      <c r="B1" t="s">
        <v>217</v>
      </c>
      <c r="C1" t="s">
        <v>1319</v>
      </c>
      <c r="D1" t="s">
        <v>1314</v>
      </c>
      <c r="E1" t="s">
        <v>1320</v>
      </c>
      <c r="F1" t="s">
        <v>1321</v>
      </c>
      <c r="G1" t="s">
        <v>1322</v>
      </c>
      <c r="H1" t="s">
        <v>1323</v>
      </c>
      <c r="I1" t="s">
        <v>1324</v>
      </c>
      <c r="J1" t="s">
        <v>1325</v>
      </c>
      <c r="K1" t="s">
        <v>1326</v>
      </c>
      <c r="L1" t="s">
        <v>1327</v>
      </c>
      <c r="M1" t="s">
        <v>1328</v>
      </c>
      <c r="N1" t="s">
        <v>1329</v>
      </c>
      <c r="O1" t="s">
        <v>1330</v>
      </c>
      <c r="P1" t="s">
        <v>1331</v>
      </c>
      <c r="Q1" t="s">
        <v>1332</v>
      </c>
      <c r="R1" t="s">
        <v>1333</v>
      </c>
      <c r="S1" t="s">
        <v>1334</v>
      </c>
      <c r="T1" t="s">
        <v>1335</v>
      </c>
      <c r="U1" t="s">
        <v>1336</v>
      </c>
      <c r="V1" t="s">
        <v>1337</v>
      </c>
      <c r="W1" t="s">
        <v>1338</v>
      </c>
      <c r="X1" t="s">
        <v>1339</v>
      </c>
      <c r="Y1" t="s">
        <v>1340</v>
      </c>
      <c r="Z1" t="s">
        <v>1341</v>
      </c>
      <c r="AA1" t="s">
        <v>1342</v>
      </c>
      <c r="AB1" t="s">
        <v>1343</v>
      </c>
      <c r="AC1" t="s">
        <v>1344</v>
      </c>
      <c r="AD1" t="s">
        <v>1345</v>
      </c>
      <c r="AE1" t="s">
        <v>9</v>
      </c>
      <c r="AF1" t="s">
        <v>1346</v>
      </c>
      <c r="AG1" t="s">
        <v>1347</v>
      </c>
    </row>
    <row r="2" spans="1:33" x14ac:dyDescent="0.3">
      <c r="A2" t="s">
        <v>1348</v>
      </c>
      <c r="B2">
        <v>45904</v>
      </c>
      <c r="C2" t="s">
        <v>1349</v>
      </c>
      <c r="D2" t="s">
        <v>1315</v>
      </c>
      <c r="E2" t="s">
        <v>1350</v>
      </c>
      <c r="G2" t="s">
        <v>1351</v>
      </c>
      <c r="H2" t="s">
        <v>1352</v>
      </c>
      <c r="I2">
        <v>21.58</v>
      </c>
      <c r="J2">
        <v>3</v>
      </c>
      <c r="L2">
        <v>5</v>
      </c>
      <c r="M2">
        <v>2</v>
      </c>
      <c r="N2">
        <v>2</v>
      </c>
      <c r="O2">
        <v>0</v>
      </c>
      <c r="P2">
        <v>0</v>
      </c>
      <c r="Q2">
        <v>47</v>
      </c>
      <c r="R2">
        <v>46</v>
      </c>
      <c r="S2" t="s">
        <v>1353</v>
      </c>
      <c r="T2">
        <v>30</v>
      </c>
      <c r="AC2">
        <v>1</v>
      </c>
      <c r="AD2">
        <v>0</v>
      </c>
      <c r="AE2" t="s">
        <v>1354</v>
      </c>
      <c r="AF2" t="s">
        <v>1355</v>
      </c>
      <c r="AG2" t="s">
        <v>1356</v>
      </c>
    </row>
    <row r="3" spans="1:33" x14ac:dyDescent="0.3">
      <c r="A3" t="s">
        <v>1357</v>
      </c>
      <c r="B3">
        <v>45905</v>
      </c>
      <c r="C3" t="s">
        <v>1349</v>
      </c>
      <c r="D3" t="s">
        <v>1315</v>
      </c>
      <c r="E3" t="s">
        <v>1350</v>
      </c>
      <c r="G3" t="s">
        <v>1358</v>
      </c>
      <c r="H3" t="s">
        <v>1359</v>
      </c>
      <c r="I3">
        <v>9.52</v>
      </c>
      <c r="J3">
        <v>5</v>
      </c>
      <c r="L3">
        <v>1</v>
      </c>
      <c r="M3">
        <v>1</v>
      </c>
      <c r="N3">
        <v>4</v>
      </c>
      <c r="O3">
        <v>0</v>
      </c>
      <c r="P3">
        <v>0</v>
      </c>
      <c r="Q3">
        <v>47</v>
      </c>
      <c r="R3">
        <v>59</v>
      </c>
      <c r="S3" t="s">
        <v>1360</v>
      </c>
      <c r="V3">
        <v>100</v>
      </c>
      <c r="AC3">
        <v>0</v>
      </c>
      <c r="AD3">
        <v>0</v>
      </c>
      <c r="AE3" t="s">
        <v>1361</v>
      </c>
      <c r="AF3" t="s">
        <v>1362</v>
      </c>
      <c r="AG3" t="s">
        <v>1356</v>
      </c>
    </row>
    <row r="4" spans="1:33" x14ac:dyDescent="0.3">
      <c r="A4" t="s">
        <v>1363</v>
      </c>
      <c r="B4">
        <v>45814</v>
      </c>
      <c r="C4" t="s">
        <v>1349</v>
      </c>
      <c r="D4" t="s">
        <v>1315</v>
      </c>
      <c r="E4" t="s">
        <v>1350</v>
      </c>
      <c r="G4" t="s">
        <v>1364</v>
      </c>
      <c r="H4" t="s">
        <v>1365</v>
      </c>
      <c r="I4">
        <v>20.37</v>
      </c>
      <c r="J4">
        <v>4</v>
      </c>
      <c r="L4">
        <v>2</v>
      </c>
      <c r="M4">
        <v>2</v>
      </c>
      <c r="N4">
        <v>4</v>
      </c>
      <c r="O4">
        <v>0</v>
      </c>
      <c r="P4">
        <v>0</v>
      </c>
      <c r="Q4">
        <v>44</v>
      </c>
      <c r="R4">
        <v>52</v>
      </c>
      <c r="S4" t="s">
        <v>1353</v>
      </c>
      <c r="V4">
        <v>81</v>
      </c>
      <c r="AC4">
        <v>0</v>
      </c>
      <c r="AD4">
        <v>0</v>
      </c>
      <c r="AE4" t="s">
        <v>1366</v>
      </c>
      <c r="AF4" t="s">
        <v>1367</v>
      </c>
      <c r="AG4" t="s">
        <v>1356</v>
      </c>
    </row>
    <row r="5" spans="1:33" x14ac:dyDescent="0.3">
      <c r="A5" t="s">
        <v>1368</v>
      </c>
      <c r="B5">
        <v>45907</v>
      </c>
      <c r="C5" t="s">
        <v>1349</v>
      </c>
      <c r="D5" t="s">
        <v>1315</v>
      </c>
      <c r="E5" t="s">
        <v>1350</v>
      </c>
      <c r="G5" t="s">
        <v>1369</v>
      </c>
      <c r="H5" t="s">
        <v>1370</v>
      </c>
      <c r="I5">
        <v>21.62</v>
      </c>
      <c r="J5">
        <v>4</v>
      </c>
      <c r="L5">
        <v>2</v>
      </c>
      <c r="M5">
        <v>2</v>
      </c>
      <c r="N5">
        <v>4</v>
      </c>
      <c r="O5">
        <v>0</v>
      </c>
      <c r="P5">
        <v>0</v>
      </c>
      <c r="Q5">
        <v>44</v>
      </c>
      <c r="R5">
        <v>53</v>
      </c>
      <c r="S5" t="s">
        <v>1353</v>
      </c>
      <c r="V5">
        <v>97</v>
      </c>
      <c r="AC5">
        <v>0</v>
      </c>
      <c r="AD5">
        <v>0</v>
      </c>
      <c r="AE5" t="s">
        <v>1371</v>
      </c>
      <c r="AF5" t="s">
        <v>1372</v>
      </c>
      <c r="AG5" t="s">
        <v>1356</v>
      </c>
    </row>
    <row r="6" spans="1:33" x14ac:dyDescent="0.3">
      <c r="A6" t="s">
        <v>1373</v>
      </c>
      <c r="B6">
        <v>45908</v>
      </c>
      <c r="C6" t="s">
        <v>1349</v>
      </c>
      <c r="D6" t="s">
        <v>1315</v>
      </c>
      <c r="E6" t="s">
        <v>1350</v>
      </c>
      <c r="G6" t="s">
        <v>1374</v>
      </c>
      <c r="H6" t="s">
        <v>1375</v>
      </c>
      <c r="I6">
        <v>20.47</v>
      </c>
      <c r="J6">
        <v>5</v>
      </c>
      <c r="L6">
        <v>2</v>
      </c>
      <c r="M6">
        <v>2</v>
      </c>
      <c r="N6">
        <v>4</v>
      </c>
      <c r="O6">
        <v>0</v>
      </c>
      <c r="P6">
        <v>0</v>
      </c>
      <c r="Q6">
        <v>46</v>
      </c>
      <c r="R6">
        <v>60</v>
      </c>
      <c r="S6" t="s">
        <v>1353</v>
      </c>
      <c r="V6">
        <v>100</v>
      </c>
      <c r="AC6">
        <v>0</v>
      </c>
      <c r="AD6">
        <v>0</v>
      </c>
      <c r="AE6" t="s">
        <v>1376</v>
      </c>
      <c r="AF6" t="s">
        <v>1372</v>
      </c>
      <c r="AG6" t="s">
        <v>1356</v>
      </c>
    </row>
    <row r="7" spans="1:33" x14ac:dyDescent="0.3">
      <c r="A7" t="s">
        <v>1377</v>
      </c>
      <c r="B7">
        <v>45909</v>
      </c>
      <c r="C7" t="s">
        <v>1349</v>
      </c>
      <c r="D7" t="s">
        <v>1315</v>
      </c>
      <c r="E7" t="s">
        <v>1350</v>
      </c>
      <c r="G7" t="s">
        <v>1378</v>
      </c>
      <c r="H7" t="s">
        <v>1379</v>
      </c>
      <c r="I7">
        <v>19.8</v>
      </c>
      <c r="J7">
        <v>4</v>
      </c>
      <c r="L7">
        <v>2</v>
      </c>
      <c r="M7">
        <v>2</v>
      </c>
      <c r="N7">
        <v>4</v>
      </c>
      <c r="O7">
        <v>0</v>
      </c>
      <c r="P7">
        <v>0</v>
      </c>
      <c r="Q7">
        <v>45</v>
      </c>
      <c r="R7">
        <v>53</v>
      </c>
      <c r="S7" t="s">
        <v>1353</v>
      </c>
      <c r="V7">
        <v>88</v>
      </c>
      <c r="AC7">
        <v>0</v>
      </c>
      <c r="AD7">
        <v>0</v>
      </c>
      <c r="AE7" t="s">
        <v>1380</v>
      </c>
      <c r="AF7" t="s">
        <v>1381</v>
      </c>
      <c r="AG7" t="s">
        <v>1356</v>
      </c>
    </row>
    <row r="8" spans="1:33" x14ac:dyDescent="0.3">
      <c r="A8" t="s">
        <v>1382</v>
      </c>
      <c r="B8">
        <v>45910</v>
      </c>
      <c r="C8" t="s">
        <v>1349</v>
      </c>
      <c r="D8" t="s">
        <v>1315</v>
      </c>
      <c r="E8" t="s">
        <v>1350</v>
      </c>
      <c r="G8" t="s">
        <v>1383</v>
      </c>
      <c r="H8" t="s">
        <v>1384</v>
      </c>
      <c r="I8">
        <v>22.17</v>
      </c>
      <c r="J8">
        <v>4</v>
      </c>
      <c r="L8">
        <v>2</v>
      </c>
      <c r="M8">
        <v>2</v>
      </c>
      <c r="N8">
        <v>4</v>
      </c>
      <c r="O8">
        <v>0</v>
      </c>
      <c r="P8">
        <v>0</v>
      </c>
      <c r="Q8">
        <v>43</v>
      </c>
      <c r="R8">
        <v>60</v>
      </c>
      <c r="S8" t="s">
        <v>1353</v>
      </c>
      <c r="V8">
        <v>96</v>
      </c>
      <c r="AC8">
        <v>0</v>
      </c>
      <c r="AD8">
        <v>0</v>
      </c>
      <c r="AE8" t="s">
        <v>1385</v>
      </c>
      <c r="AF8" t="s">
        <v>1386</v>
      </c>
      <c r="AG8" t="s">
        <v>1356</v>
      </c>
    </row>
    <row r="9" spans="1:33" x14ac:dyDescent="0.3">
      <c r="A9" t="s">
        <v>1387</v>
      </c>
      <c r="B9">
        <v>45911</v>
      </c>
      <c r="C9" t="s">
        <v>1349</v>
      </c>
      <c r="D9" t="s">
        <v>1315</v>
      </c>
      <c r="E9" t="s">
        <v>1350</v>
      </c>
      <c r="G9" t="s">
        <v>1388</v>
      </c>
      <c r="H9" t="s">
        <v>1389</v>
      </c>
      <c r="I9">
        <v>21.08</v>
      </c>
      <c r="J9">
        <v>3</v>
      </c>
      <c r="L9">
        <v>4</v>
      </c>
      <c r="M9">
        <v>4</v>
      </c>
      <c r="N9">
        <v>3</v>
      </c>
      <c r="O9">
        <v>0</v>
      </c>
      <c r="P9">
        <v>0</v>
      </c>
      <c r="Q9">
        <v>44</v>
      </c>
      <c r="R9">
        <v>55</v>
      </c>
      <c r="S9" t="s">
        <v>1353</v>
      </c>
      <c r="V9">
        <v>85</v>
      </c>
      <c r="AC9">
        <v>0</v>
      </c>
      <c r="AD9">
        <v>0</v>
      </c>
      <c r="AE9" t="s">
        <v>1390</v>
      </c>
      <c r="AF9" t="s">
        <v>1391</v>
      </c>
      <c r="AG9" t="s">
        <v>1356</v>
      </c>
    </row>
    <row r="10" spans="1:33" x14ac:dyDescent="0.3">
      <c r="A10" t="s">
        <v>1392</v>
      </c>
      <c r="B10" t="s">
        <v>1393</v>
      </c>
      <c r="C10" t="s">
        <v>1349</v>
      </c>
      <c r="D10" t="s">
        <v>1315</v>
      </c>
      <c r="E10" t="s">
        <v>1350</v>
      </c>
      <c r="G10" t="s">
        <v>1394</v>
      </c>
      <c r="H10" t="s">
        <v>1395</v>
      </c>
      <c r="I10">
        <v>5.92</v>
      </c>
      <c r="J10">
        <v>3</v>
      </c>
      <c r="L10">
        <v>4</v>
      </c>
      <c r="M10">
        <v>2</v>
      </c>
      <c r="N10">
        <v>3</v>
      </c>
      <c r="O10">
        <v>0</v>
      </c>
      <c r="P10">
        <v>0</v>
      </c>
      <c r="S10" t="s">
        <v>1353</v>
      </c>
      <c r="V10">
        <v>48</v>
      </c>
      <c r="AC10">
        <v>0</v>
      </c>
      <c r="AD10">
        <v>0</v>
      </c>
      <c r="AE10" t="s">
        <v>1396</v>
      </c>
      <c r="AF10" t="s">
        <v>1397</v>
      </c>
      <c r="AG10" t="s">
        <v>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Lists</vt:lpstr>
      <vt:lpstr>README</vt:lpstr>
      <vt:lpstr>Benchmarks</vt:lpstr>
      <vt:lpstr>Benchmarks(Other)</vt:lpstr>
      <vt:lpstr>BenchmarkResults</vt:lpstr>
      <vt:lpstr>BenchmarkMap</vt:lpstr>
      <vt:lpstr>MovementLibrary</vt:lpstr>
      <vt:lpstr>GtG_Log</vt:lpstr>
      <vt:lpstr>Programs</vt:lpstr>
      <vt:lpstr>Sessions</vt:lpstr>
      <vt:lpstr>SessionMovements</vt:lpstr>
      <vt:lpstr>ReadinessDaily</vt:lpstr>
      <vt:lpstr>Milestones</vt:lpstr>
      <vt:lpstr>PlanRules</vt:lpstr>
      <vt:lpstr>GapAnalysis</vt:lpstr>
      <vt:lpstr>PRHistory</vt:lpstr>
      <vt:lpstr>OneRMs</vt:lpstr>
      <vt:lpstr>Wellness</vt:lpstr>
      <vt:lpstr>'Benchmarks(Other)'!BenchmarkIDs</vt:lpstr>
      <vt:lpstr>BenchmarkIDs</vt:lpstr>
      <vt:lpstr>'Benchmarks(Other)'!LoadSourceOptions</vt:lpstr>
      <vt:lpstr>LoadSourceOptions</vt:lpstr>
      <vt:lpstr>'Benchmarks(Other)'!lstStatus</vt:lpstr>
      <vt:lpstr>lstStatus</vt:lpstr>
      <vt:lpstr>'Benchmarks(Other)'!MovementIDs</vt:lpstr>
      <vt:lpstr>MovementIDs</vt:lpstr>
      <vt:lpstr>'Benchmarks(Other)'!ProgramIDs</vt:lpstr>
      <vt:lpstr>ProgramIDs</vt:lpstr>
      <vt:lpstr>'Benchmarks(Other)'!SessionIDs</vt:lpstr>
      <vt:lpstr>SessionIDs</vt:lpstr>
      <vt:lpstr>'Benchmarks(Other)'!SessionLabels</vt:lpstr>
      <vt:lpstr>SessionLabels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Josh Campton</cp:lastModifiedBy>
  <cp:revision/>
  <dcterms:created xsi:type="dcterms:W3CDTF">2025-08-14T00:00:40Z</dcterms:created>
  <dcterms:modified xsi:type="dcterms:W3CDTF">2026-02-13T00:06:14Z</dcterms:modified>
  <cp:category/>
  <cp:contentStatus/>
</cp:coreProperties>
</file>